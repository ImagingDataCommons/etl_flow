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values" sheetId="1" r:id="rId4"/>
    <sheet state="visible" name="idc_dictionary" sheetId="2" r:id="rId5"/>
    <sheet state="visible" name="idc_dictionary_formula" sheetId="3" r:id="rId6"/>
    <sheet state="visible" name="original_dictionary" sheetId="4" r:id="rId7"/>
  </sheets>
  <definedNames/>
  <calcPr/>
</workbook>
</file>

<file path=xl/sharedStrings.xml><?xml version="1.0" encoding="utf-8"?>
<sst xmlns="http://schemas.openxmlformats.org/spreadsheetml/2006/main" count="379" uniqueCount="359">
  <si>
    <t>patient_id</t>
  </si>
  <si>
    <t>lactate_dehydrogenase</t>
  </si>
  <si>
    <t>alanine_aminotransferase</t>
  </si>
  <si>
    <t>hematocrit</t>
  </si>
  <si>
    <t>creatinine</t>
  </si>
  <si>
    <t>erythrocyte_mean_corpuscular_hemoglobin</t>
  </si>
  <si>
    <t>erythrocyte_mean_corpuscular_hemoglobin_concentration</t>
  </si>
  <si>
    <t>aspartate_aminotransferase</t>
  </si>
  <si>
    <t>erythrocyte_distribution_width</t>
  </si>
  <si>
    <t>erythrocyte_mean_corpuscular_volume</t>
  </si>
  <si>
    <t>urate</t>
  </si>
  <si>
    <t>leukocytes</t>
  </si>
  <si>
    <t>eosinophils_over_100_leukocytes</t>
  </si>
  <si>
    <t>hemoglobin</t>
  </si>
  <si>
    <t>lymphocytes_over_100_leukocytes</t>
  </si>
  <si>
    <t>monocytes_over_100_leukocytes</t>
  </si>
  <si>
    <t>neutrophils_segmented_over_100_leukocytes</t>
  </si>
  <si>
    <t>platelets</t>
  </si>
  <si>
    <t>erythrocytes</t>
  </si>
  <si>
    <t>002BD524C907A2A5121D3ADAED05D442</t>
  </si>
  <si>
    <t>006F52E9102A8D3BE2FE5614F42BA989</t>
  </si>
  <si>
    <t>013D407166EC4FA56EB1E1F8CBE183B9</t>
  </si>
  <si>
    <t>02522A2B2726FB0A03BB19F2D8D9524D</t>
  </si>
  <si>
    <t>02E74F10E0327AD868D138F2B4FDD6F0</t>
  </si>
  <si>
    <t>0336DCBAB05B9D5AD24F4333C7658A0E</t>
  </si>
  <si>
    <t>03AFDBD66E7929B125F8597834FA83A4</t>
  </si>
  <si>
    <t>03C6B06952C750899BB03D998E631860</t>
  </si>
  <si>
    <t>060AD92489947D410D897474079C1477</t>
  </si>
  <si>
    <t>06138BC5AF6023646EDE0E1F7C1EAC75</t>
  </si>
  <si>
    <t>06409663226AF2F3114485AA4E0A23B4</t>
  </si>
  <si>
    <t>069059B7EF840F0C74A814EC9237B6EC</t>
  </si>
  <si>
    <t>06FEE55734DEFE2EF2A60DEFFFD994FE</t>
  </si>
  <si>
    <t>072B030BA126B2F4B2374F342BE9ED44</t>
  </si>
  <si>
    <t>0777D5C17D4066B82AB86DFF8A46AF6F</t>
  </si>
  <si>
    <t>07E1CD7DCA89A1678042477183B7AC3F</t>
  </si>
  <si>
    <t>084B6FBB10729ED4DA8C3D3F5A3AE7C9</t>
  </si>
  <si>
    <t>091D584FCED301B442654DD8C23B3FC9</t>
  </si>
  <si>
    <t>093F65E080A295F8076B1C5722A46AA2</t>
  </si>
  <si>
    <t>0A09C8844BA8F0936C20BD791130D6B6</t>
  </si>
  <si>
    <t>0AA1883C6411F7873CB83DACB17B0AFC</t>
  </si>
  <si>
    <t>0F28B5D49B3020AFEECD95B4009ADF4C</t>
  </si>
  <si>
    <t>12ED127BACFF11D62A255BE81C5E2310</t>
  </si>
  <si>
    <t>12F54ACB6F92C80EAC9609D202A98325</t>
  </si>
  <si>
    <t>1385974ED5904A438616FF7BDB3F7439</t>
  </si>
  <si>
    <t>140F6969D5213FD0ECE03148E62E461E</t>
  </si>
  <si>
    <t>149E9677A5989FD342AE44213DF68868</t>
  </si>
  <si>
    <t>14BFA6BB14875E45BBA028A21ED38046</t>
  </si>
  <si>
    <t>1679091C5A880FAF6FB5E6087EB1B2DC</t>
  </si>
  <si>
    <t>17E62166FC8586DFA4D1BC0E1742C08B</t>
  </si>
  <si>
    <t>182BE0C5CDCD5072BB1864CDEE4D3D6E</t>
  </si>
  <si>
    <t>19CA14E7EA6328A42E0EB13D585E4C22</t>
  </si>
  <si>
    <t>1A00B3B296CD48BA5D1BD76B18C48346</t>
  </si>
  <si>
    <t>1AFA34A7F984EEABDBB0A7D494132EE5</t>
  </si>
  <si>
    <t>1C383CD30B7C298AB50293ADFECB7B18</t>
  </si>
  <si>
    <t>1C9AC0159C94D8D0CBEDC973445AF2DA</t>
  </si>
  <si>
    <t>1F0E3DAD99908345F7439F8FFABDFFC4</t>
  </si>
  <si>
    <t>202CB962AC59075B964B07152D234B70</t>
  </si>
  <si>
    <t>26657D5FF9020D2ABEFE558796B99584</t>
  </si>
  <si>
    <t>2723D092B63885E0D7C260CC007E8B9D</t>
  </si>
  <si>
    <t>274AD4786C3ABCA69FA097B85867D9A4</t>
  </si>
  <si>
    <t>2838023A778DFAECDC212708F721B788</t>
  </si>
  <si>
    <t>28DD2C7955CE926456240B2FF0100BDE</t>
  </si>
  <si>
    <t>2A38A4A9316C49E5A833517C45D31070</t>
  </si>
  <si>
    <t>2A79EA27C279E471F4D180B08D62B00A</t>
  </si>
  <si>
    <t>2B24D495052A8CE66358EB576B8912C8</t>
  </si>
  <si>
    <t>2B44928AE11FB9384C4CF38708677C48</t>
  </si>
  <si>
    <t>2EAB84C785399B2DCDD75FD40917C17C</t>
  </si>
  <si>
    <t>31FEFC0E570CB3860F2A6D4B38C6490D</t>
  </si>
  <si>
    <t>3295C76ACBF4CAAED33C36B1B5FC2CB1</t>
  </si>
  <si>
    <t>32BB90E8976AAB5298D5DA10FE66F21D</t>
  </si>
  <si>
    <t>335F5352088D7D9BF74191E006D8E24C</t>
  </si>
  <si>
    <t>33E75FF09DD601BBE69F351039152189</t>
  </si>
  <si>
    <t>3416A75F4CEA9109507CACD8E2F2AEFC</t>
  </si>
  <si>
    <t>34173CB38F07F89DDBEBC2AC9128303F</t>
  </si>
  <si>
    <t>3421557EEC62C83EEA2C83C08A79CDB9</t>
  </si>
  <si>
    <t>357AAD4942E92FCC103D9233B6739697</t>
  </si>
  <si>
    <t>35F4A8D465E6E1EDC05F3D8AB658C551</t>
  </si>
  <si>
    <t>3636638817772E42B59D74CFF571FBB3</t>
  </si>
  <si>
    <t>3644A684F98EA8FE223C713B77189A77</t>
  </si>
  <si>
    <t>36660E59856B4DE58A219BCF4E27EBA3</t>
  </si>
  <si>
    <t>37693CFC748049E45D87B8C7D8B9AACD</t>
  </si>
  <si>
    <t>37A749D808E46495A8DA1E5352D03CAE</t>
  </si>
  <si>
    <t>38B3EFF8BAF56627478EC76A704E9B52</t>
  </si>
  <si>
    <t>38DB3AED920CF82AB059BFCCBD02BE6A</t>
  </si>
  <si>
    <t>39059724F73A9969845DFE4146C5660E</t>
  </si>
  <si>
    <t>398499203B70C029E7F1BEFF75C0DEA1</t>
  </si>
  <si>
    <t>3988C7F88EBCB58C6CE932B957B6F332</t>
  </si>
  <si>
    <t>399C0FDBA7E789C6736AC660D23B4BB6</t>
  </si>
  <si>
    <t>3B80517688B93186611E64FE9268FCA7</t>
  </si>
  <si>
    <t>3B8A614226A953A8CD9526FCA6FE9BA5</t>
  </si>
  <si>
    <t>3C59DC048E8850243BE8079A5C74D079</t>
  </si>
  <si>
    <t>3DEF184AD8F4755FF269862EA77393DD</t>
  </si>
  <si>
    <t>3EF815416F775098FE977004015C6193</t>
  </si>
  <si>
    <t>42A0E188F5033BC65BF8D78622277C4E</t>
  </si>
  <si>
    <t>43EC517D68B6EDD3015B3EDC9A11367B</t>
  </si>
  <si>
    <t>4443AEE183B279F76A95C13C7F5BCA0D</t>
  </si>
  <si>
    <t>44F683A84163B3523AFE57C2E008BC8C</t>
  </si>
  <si>
    <t>45C48CCE2E2D7FBDEA1AFC51C7C6AD26</t>
  </si>
  <si>
    <t>47397D3C4DB6F903852E87660CB96E3D</t>
  </si>
  <si>
    <t>47D1E990583C9C67424D369F3414728E</t>
  </si>
  <si>
    <t>4C56FF4CE4AAF9573AA5DFF913DF997A</t>
  </si>
  <si>
    <t>4E732CED3463D06DE0CA9A15B6153677</t>
  </si>
  <si>
    <t>4F584FE84E3D2EDE914508A873D75855</t>
  </si>
  <si>
    <t>54229ABFCFA5649E7003B83DD4755294</t>
  </si>
  <si>
    <t>5878A7AB84FB43402106C575658472FA</t>
  </si>
  <si>
    <t>58A2FC6ED39FD083F55D4182BF88826D</t>
  </si>
  <si>
    <t>5C820C4E9439DC590E3192DBB774255E</t>
  </si>
  <si>
    <t>5EF059938BA799AAA845E1C2E8A762BD</t>
  </si>
  <si>
    <t>5F93F983524DEF3DCA464469D2CF9F3E</t>
  </si>
  <si>
    <t>5FD0B37CD7DBBB00F97BA6CE92BF5ADD</t>
  </si>
  <si>
    <t>61BEED9E2C7DBF9CF3F2DBA9FFD26B2A</t>
  </si>
  <si>
    <t>621BF66DDB7C962AA0D22AC97D69B793</t>
  </si>
  <si>
    <t>623AE0B81861352D483A3CAE6CD34DDB</t>
  </si>
  <si>
    <t>6364D3F0F495B6AB9DCF8D3B5C6E0B01</t>
  </si>
  <si>
    <t>63DC7ED1010D3C3B8269FAF0BA7491D4</t>
  </si>
  <si>
    <t>642E92EFB79421734881B53E1E1B18B6</t>
  </si>
  <si>
    <t>6512BD43D9CAA6E02C990B0A82652DCA</t>
  </si>
  <si>
    <t>65B9EEA6E1CC6BB9F0CD2A47751A186F</t>
  </si>
  <si>
    <t>65DED5353C5EE48D0B7D48C591B8F430</t>
  </si>
  <si>
    <t>66F041E16A60928B05A7E228A89C3799</t>
  </si>
  <si>
    <t>67C6A1E7CE56D3D6FA748AB6D9AF3FD7</t>
  </si>
  <si>
    <t>68D30A9594728BC39AA24BE94B319D21</t>
  </si>
  <si>
    <t>6974CE5AC660610B44D9B9FED0FF9548</t>
  </si>
  <si>
    <t>698D51A19D8A121CE581499D7B701668</t>
  </si>
  <si>
    <t>69ADC1E107F7F7D035D7BAF04342E1CA</t>
  </si>
  <si>
    <t>6C4B761A28B734FE93831E3FB400CE87</t>
  </si>
  <si>
    <t>6C8349CC7260AE62E3B1396831A8398F</t>
  </si>
  <si>
    <t>6F3EF77AC0E3619E98159E9B6FEBF557</t>
  </si>
  <si>
    <t>6F4922F45568161A8CDF4AD2299F6D23</t>
  </si>
  <si>
    <t>700049AE9F8CB7635BF38EA93D450C00</t>
  </si>
  <si>
    <t>70EFDF2EC9B086079795C442636B55FB</t>
  </si>
  <si>
    <t>72B32A1F754BA1C09B3695E0CB6CDE7F</t>
  </si>
  <si>
    <t>73278A4A86960EEB576A8FD4C9EC6997</t>
  </si>
  <si>
    <t>74DB120F0A8E5646EF5A30154E9F6DEB</t>
  </si>
  <si>
    <t>75612D01831B0B8C48530A878109A865</t>
  </si>
  <si>
    <t>7647966B7343C29048673252E490F736</t>
  </si>
  <si>
    <t>76DC611D6EBAAFC66CC0879C71B5DB5C</t>
  </si>
  <si>
    <t>7A614FD06C325499F1680B9896BEEDEB</t>
  </si>
  <si>
    <t>7CBBC409EC990F19C78C75BD1E06F215</t>
  </si>
  <si>
    <t>7E7757B1E12ABCB736AB9A754FFB617A</t>
  </si>
  <si>
    <t>7EF605FC8DBA5425D6965FBD4C8FBE1F</t>
  </si>
  <si>
    <t>7F100B7B36092FB9B06DFB4FAC360931</t>
  </si>
  <si>
    <t>7F1DE29E6DA19D22B51C68001E7E0E54</t>
  </si>
  <si>
    <t>7F39F8317FBDB1988EF4C628EBA02591</t>
  </si>
  <si>
    <t>7F6FFAA6BB0B408017B62254211691B5</t>
  </si>
  <si>
    <t>812B4BA287F5EE0BC9D43BBF5BBE87FB</t>
  </si>
  <si>
    <t>82161242827B703E6ACF9C726942A1E4</t>
  </si>
  <si>
    <t>82AA4B0AF34C2313A562076992E50AA3</t>
  </si>
  <si>
    <t>84D9EE44E457DDEF7F2C4F25DC8FA865</t>
  </si>
  <si>
    <t>8613985EC49EB8F757AE6439E879BB2A</t>
  </si>
  <si>
    <t>87D5BE18C3F5EA9721B8B343120CD71C</t>
  </si>
  <si>
    <t>8963A6178314866F22F870E84026D429</t>
  </si>
  <si>
    <t>8D5E957F297893487BD98FA830FA6413</t>
  </si>
  <si>
    <t>8E296A067A37563370DED05F5A3BF3EC</t>
  </si>
  <si>
    <t>8EB6D8747175919F27472673A32B3ECA</t>
  </si>
  <si>
    <t>8F121CE07D74717E0B1F21D122E04521</t>
  </si>
  <si>
    <t>8F14E45FCEEA167A5A36DEDD4BEA2543</t>
  </si>
  <si>
    <t>8F85517967795EEEF66C225F7883BDCB</t>
  </si>
  <si>
    <t>92CC227532D17E56E07902B254DFAD10</t>
  </si>
  <si>
    <t>93DB85ED909C13838FF95CCFA94CEBD9</t>
  </si>
  <si>
    <t>93ED4838BE11F21D2E5A8A03B36CD6BD</t>
  </si>
  <si>
    <t>9461E2E0784D432D5FD84528FDBC3BBE</t>
  </si>
  <si>
    <t>&gt;1800</t>
  </si>
  <si>
    <t>9766527F2B5D3E95D4A733FCFB77BD7E</t>
  </si>
  <si>
    <t>9778D5D219C5080B9A6A17BEF029331C</t>
  </si>
  <si>
    <t>979D472A84804B9F647BC185A877A8B5</t>
  </si>
  <si>
    <t>98DCE83DA57B0395E163467C9DAE521B</t>
  </si>
  <si>
    <t>98F13708210194C475687BE6106A3B84</t>
  </si>
  <si>
    <t>9A1158154DFA42CADDBD0694A4E9BDC8</t>
  </si>
  <si>
    <t>9A15F38C5291BA675D2E6DDF530BA6D9</t>
  </si>
  <si>
    <t>9B04D152845EC0A378394003C96DA594</t>
  </si>
  <si>
    <t>9B8619251A19057CFF70779273E95AA6</t>
  </si>
  <si>
    <t>9BF31C7FF062936A96D3C8BD1F8F2FF3</t>
  </si>
  <si>
    <t>9DCB88E0137649590B755372B040AFAD</t>
  </si>
  <si>
    <t>9F61408E3AFB633E50CDF1B20DE6F466</t>
  </si>
  <si>
    <t>9FC3D7152BA9336A670E36D0ED79BC43</t>
  </si>
  <si>
    <t>A0A080F42E6F13B3A2DF133F073095DD</t>
  </si>
  <si>
    <t>A1D0C6E83F027327D8461063F4AC58A6</t>
  </si>
  <si>
    <t>A3C65C2974270FD093EE8A9BF8AE7D0B</t>
  </si>
  <si>
    <t>A3F390D88E4C41F2747BFA2F1B5F87DB</t>
  </si>
  <si>
    <t>&lt;Nachweisgrenze</t>
  </si>
  <si>
    <t>A4A042CF4FD6BFB47701CBC8A1653ADA</t>
  </si>
  <si>
    <t>A5771BCE93E200C36F7CD9DFD0E5DEAA</t>
  </si>
  <si>
    <t>A597E50502F5FF68E3E25B9114205D4A</t>
  </si>
  <si>
    <t>A5BFC9E07964F8DDDEB95FC584CD965D</t>
  </si>
  <si>
    <t>A5E00132373A7031000FD987A3C9F87B</t>
  </si>
  <si>
    <t>A61D1A964CA038E6FB5416A8ECF0C76D</t>
  </si>
  <si>
    <t>A684ECEEE76FC522773286A895BC8436</t>
  </si>
  <si>
    <t>A6BBC91AE73DD21C0533F735470A9CD0</t>
  </si>
  <si>
    <t>A87FF679A2F3E71D9181A67B7542122C</t>
  </si>
  <si>
    <t>A8F15EDA80C50ADB0E71943ADC8015CF</t>
  </si>
  <si>
    <t>&gt;97</t>
  </si>
  <si>
    <t>A97DA629B098B75C294DFFDC3E463904</t>
  </si>
  <si>
    <t>AAB3238922BCC25A6F606EB525FFDC56</t>
  </si>
  <si>
    <t>AC627AB1CCBDB62EC96E702F07F6425B</t>
  </si>
  <si>
    <t>ACC68D832D90A3AAA9E2A38A529C62EB</t>
  </si>
  <si>
    <t>AD61AB143223EFBC24C7D2583BE69251</t>
  </si>
  <si>
    <t>B1A59B315FC9A3002CE38BBE070EC3F5</t>
  </si>
  <si>
    <t>B1D10E7BAFA4421218A51B1E1F1B0BA2</t>
  </si>
  <si>
    <t>B3E3E393C77E35A4A3F3CBD1E429B5DC</t>
  </si>
  <si>
    <t>B4A67623E7A47A4406DECAC8E1A1DD6F</t>
  </si>
  <si>
    <t>B53B3A3D6AB90CE0268229151C9BDE11</t>
  </si>
  <si>
    <t>B6D767D2F8ED5D21A44B0E5886680CB9</t>
  </si>
  <si>
    <t>B73CE398C39F506AF761D2277D853A92</t>
  </si>
  <si>
    <t>&lt;0,2</t>
  </si>
  <si>
    <t>BA6484A665B9A691A37F57872C643E04</t>
  </si>
  <si>
    <t>BB8CF22800F0D97AB7EC98F1213B4B4E</t>
  </si>
  <si>
    <t>BCDCEF5EF4CF9871F0CB6BFF04753754</t>
  </si>
  <si>
    <t>BD4C9AB730F5513206B999EC0D90D1FB</t>
  </si>
  <si>
    <t>BD686FD640BE98EFAAE0091FA301E613</t>
  </si>
  <si>
    <t>BF8229696F7A3BB4700CFDDEF19FA23F</t>
  </si>
  <si>
    <t>&gt;1700</t>
  </si>
  <si>
    <t>C0C7C76D30BD3DCAEFC96F40275BDC0A</t>
  </si>
  <si>
    <t>C0E190D8267E36708F955D7AB048990D</t>
  </si>
  <si>
    <t>C16A5320FA475530D9583C34FD356EF5</t>
  </si>
  <si>
    <t>C20AD4D76FE97759AA27A0C99BFF6710</t>
  </si>
  <si>
    <t>C24CD76E1CE41366A4BBE8A49B02A028</t>
  </si>
  <si>
    <t>C24D731AC18944F0AFF1DBCCF40ED102</t>
  </si>
  <si>
    <t>C45147DEE729311EF5B5C3003946C48F</t>
  </si>
  <si>
    <t>C4CA4238A0B923820DCC509A6F75849B</t>
  </si>
  <si>
    <t>C51CE410C124A10E0DB5E4B97FC2AF39</t>
  </si>
  <si>
    <t>C52F1BD66CC19D05628BD8BF27AF3AD6</t>
  </si>
  <si>
    <t>C74D97B01EAE257E44AA9D5BADE97BAF</t>
  </si>
  <si>
    <t>C7E1249FFC03EB9DED908C236BD1996D</t>
  </si>
  <si>
    <t>C7FF6173CE74C106F0871CEA7F91F152</t>
  </si>
  <si>
    <t>C81E728D9D4C2F636F067F89CC14862C</t>
  </si>
  <si>
    <t>C82561EC215A6E31807CEEDF3B3BD25E</t>
  </si>
  <si>
    <t>C8FFE9A587B126F152ED3D89A146B445</t>
  </si>
  <si>
    <t>C912541E67CD22445ED91775B8E89A7D</t>
  </si>
  <si>
    <t>C9E1074F5B3F9FC8EA15D152ADD07294</t>
  </si>
  <si>
    <t>C9F0F895FB98AB9159F51FD0297E236D</t>
  </si>
  <si>
    <t>CA46C1B9512A7A8315FA3C5A946E8265</t>
  </si>
  <si>
    <t>CB70AB375662576BD1AC5AAF16B3FCA4</t>
  </si>
  <si>
    <t>D09BF41544A3365A46C9077EBB5E35C3</t>
  </si>
  <si>
    <t>D1C38A09ACC34845C6BE3A127A5AACAF</t>
  </si>
  <si>
    <t>D1F491A404D6854880943E5C3CD9CA25</t>
  </si>
  <si>
    <t>D1FE173D08E959397ADF34B1D77E88D7</t>
  </si>
  <si>
    <t>D25E9132CF24B8A7A2164885101E62CB</t>
  </si>
  <si>
    <t>D2DDEA18F00665CE8623E36BD4E3C7C5</t>
  </si>
  <si>
    <t>D3D9446802A44259755D38E6D163E820</t>
  </si>
  <si>
    <t>D645920E395FEDAD7BBBED0ECA3FE2E0</t>
  </si>
  <si>
    <t>D67D8AB4F4C10BF22AA353E27879133C</t>
  </si>
  <si>
    <t>D82C8D1619AD8176D665453CFB2E55F0</t>
  </si>
  <si>
    <t>D96409BF894217686BA124D7356686C9</t>
  </si>
  <si>
    <t>D9D4F495E875A2E075A1A4A6E1B9770F</t>
  </si>
  <si>
    <t>DA4FB5C6E93E74D3DF8527599FA62642</t>
  </si>
  <si>
    <t>E00DA03B685A0DD18FB6A08AF0923DE0</t>
  </si>
  <si>
    <t>E2C0BE24560D78C5E599C2A9C9D0BBD2</t>
  </si>
  <si>
    <t>E2C420D928D4BF8CE0FF2EC19B371514</t>
  </si>
  <si>
    <t>E2EF524FBF3D9FE611D5A8E90FEFDC9C</t>
  </si>
  <si>
    <t>E369853DF766FA44E1ED0FF613F563BD</t>
  </si>
  <si>
    <t>E4A6222CDB5B34375400904F03D8E6A5</t>
  </si>
  <si>
    <t>E4DA3B7FBBCE2345D7772B0674A318D5</t>
  </si>
  <si>
    <t>E56954B4F6347E897F954495EAB16A88</t>
  </si>
  <si>
    <t>E96ED478DAB8595A7DBDA4CBCBEE168F</t>
  </si>
  <si>
    <t>EA5D2F1C4608232E07D3AA3D998E5135</t>
  </si>
  <si>
    <t>EAA51AE97DBF78D298CB4BA55761AB8B</t>
  </si>
  <si>
    <t>EAE27D77CA20DB309E056E3D2DCD7D69</t>
  </si>
  <si>
    <t>EB160DE1DE89D9058FCB0B968DBBBD68</t>
  </si>
  <si>
    <t>EC5DECCA5ED3D6B8079E2E7E7BACC9F2</t>
  </si>
  <si>
    <t>EC8956637A99787BD197EACD77ACCE5E</t>
  </si>
  <si>
    <t>EC8CE6ABB3E952A85B8551BA726A1227</t>
  </si>
  <si>
    <t>ECCBC87E4B5CE2FE28308FD9F2A7BAF3</t>
  </si>
  <si>
    <t>ED23E9D533A3992B2BFEEF6F8601A945</t>
  </si>
  <si>
    <t>ED3D2C21991E3BEF5E069713AF9FA6CA</t>
  </si>
  <si>
    <t>EDA80A3D5B344BC40F3BC04F65B7A357</t>
  </si>
  <si>
    <t>EECCA5B6365D9607EE5A9D336962C534</t>
  </si>
  <si>
    <t>F033AB37C30201F73F142449D037028D</t>
  </si>
  <si>
    <t>F0549529AF3E0E57F00F30CF1E1FC994</t>
  </si>
  <si>
    <t>F0935E4CD5920AA6C7C996A5EE53A70F</t>
  </si>
  <si>
    <t>F2217062E9A397A1DCA429E7D70BC6CA</t>
  </si>
  <si>
    <t>F4B9EC30AD9F68F89B29639786CB62EF</t>
  </si>
  <si>
    <t>F7177163C833DFF4B38FC8D2872F1EC6</t>
  </si>
  <si>
    <t>F7405A633A5F7482725CC94B3563A5B6</t>
  </si>
  <si>
    <t>F768F6C7948E6A750060AF15FB73BF6C</t>
  </si>
  <si>
    <t>F899139DF5E1059396431415E770C6DD</t>
  </si>
  <si>
    <t>FBD7939D674997CDB4692D34DE8633C4</t>
  </si>
  <si>
    <t>FC221309746013AC554571FBD180E1C8</t>
  </si>
  <si>
    <t>FC490CA45C00B1249BBE3554A4FDF6FB</t>
  </si>
  <si>
    <t>FE9FC289C3FF0AF142B6D3BEAD98A923</t>
  </si>
  <si>
    <t>FFD52F3C7E12435A724A8F30FDDADD9C</t>
  </si>
  <si>
    <t>column_formula</t>
  </si>
  <si>
    <t>column_label_formula</t>
  </si>
  <si>
    <t>LOINC:14804-9 COMPONENT: Lactate dehydrogenase DISPLAY_NAME: LDH Lactate to pyruvate reaction</t>
  </si>
  <si>
    <t>LOINC:1743-4 COMPONENT: Alanine aminotransferase DISPLAY_NAME: ALT With P-5'-P [Catalytic activity/Vol]</t>
  </si>
  <si>
    <t>LOINC:20570-8 COMPONENT: Hematocrit DISPLAY_NAME: Hematocrit (Bld) [Volume fraction]</t>
  </si>
  <si>
    <t>LOINC:2160-0 COMPONENT: Creatinine DISPLAY_NAME: Creatinine [Mass/Vol]</t>
  </si>
  <si>
    <t>LOINC:28539-5 COMPONENT: Erythrocyte mean corpuscular hemoglobin DISPLAY_NAME: MCH (RBC) [Entitic mass]</t>
  </si>
  <si>
    <t>LOINC:28540-3 COMPONENT: Erythrocyte mean corpuscular hemoglobin concentration DISPLAY_NAME: MCHC (RBC) [Mass/Vol]</t>
  </si>
  <si>
    <t>LOINC:30239-8 COMPONENT: Aspartate aminotransferase DISPLAY_NAME: AST With P-5'-P [Catalytic activity/Vol]</t>
  </si>
  <si>
    <t>LOINC:30385-9 COMPONENT: Erythrocyte distribution width DISPLAY_NAME: Erythrocyte distribution width (RBC) [Ratio]</t>
  </si>
  <si>
    <t>LOINC:30428-7 COMPONENT: Erythrocyte mean corpuscular volume DISPLAY_NAME: MCV (RBC) [Entitic vol]</t>
  </si>
  <si>
    <t>LOINC:3084-1 COMPONENT: Urate DISPLAY_NAME: Urate [Mass/Vol]</t>
  </si>
  <si>
    <t>LOINC:6690-2 COMPONENT: Leukocytes DISPLAY_NAME: WBC Auto (Bld) [#/Vol]</t>
  </si>
  <si>
    <t>LOINC:714-6 COMPONENT: Eosinophils/100 leukocytes DISPLAY_NAME: Eosinophils/100 WBC Manual cnt (Bld)</t>
  </si>
  <si>
    <t>LOINC:718-7 COMPONENT: Hemoglobin DISPLAY_NAME: Hemoglobin (Bld) [Mass/Vol]</t>
  </si>
  <si>
    <t>LOINC:737-7 COMPONENT: Lymphocytes/100 leukocytes DISPLAY_NAME: Lymphocytes/100 WBC Manual cnt (Bld)</t>
  </si>
  <si>
    <t>LOINC:744-3 COMPONENT: Monocytes/100 leukocytes DISPLAY_NAME: Monocytes/100 WBC Manual cnt (Bld)</t>
  </si>
  <si>
    <t>LOINC:769-0 COMPONENT: Neutrophils.segmented/100 leukocytes DISPLAY_NAME: Segmented neutrophils/100 WBC Manual cnt (Bld)</t>
  </si>
  <si>
    <t>LOINC:777-3 COMPONENT: Platelets DISPLAY_NAME: Platelets Auto (Bld) [#/Vol]</t>
  </si>
  <si>
    <t>LOINC:789-8 COMPONENT: Erythrocytes DISPLAY_NAME: RBC Auto (Bld) [#/Vol]</t>
  </si>
  <si>
    <t>LOINC</t>
  </si>
  <si>
    <t>COMPONENT</t>
  </si>
  <si>
    <t>DISPLAY_NAME</t>
  </si>
  <si>
    <t>14804-9</t>
  </si>
  <si>
    <t>Lactate dehydrogenase</t>
  </si>
  <si>
    <t>LDH Lactate to pyruvate reaction</t>
  </si>
  <si>
    <t>1743-4</t>
  </si>
  <si>
    <t>Alanine aminotransferase</t>
  </si>
  <si>
    <t>ALT With P-5'-P [Catalytic activity/Vol]</t>
  </si>
  <si>
    <t>20570-8</t>
  </si>
  <si>
    <t>Hematocrit</t>
  </si>
  <si>
    <t>Hematocrit (Bld) [Volume fraction]</t>
  </si>
  <si>
    <t>2160-0</t>
  </si>
  <si>
    <t>Creatinine</t>
  </si>
  <si>
    <t>Creatinine [Mass/Vol]</t>
  </si>
  <si>
    <t>28539-5</t>
  </si>
  <si>
    <t>Erythrocyte mean corpuscular hemoglobin</t>
  </si>
  <si>
    <t>MCH (RBC) [Entitic mass]</t>
  </si>
  <si>
    <t>28540-3</t>
  </si>
  <si>
    <t>Erythrocyte mean corpuscular hemoglobin concentration</t>
  </si>
  <si>
    <t>MCHC (RBC) [Mass/Vol]</t>
  </si>
  <si>
    <t>30239-8</t>
  </si>
  <si>
    <t>Aspartate aminotransferase</t>
  </si>
  <si>
    <t>AST With P-5'-P [Catalytic activity/Vol]</t>
  </si>
  <si>
    <t>30385-9</t>
  </si>
  <si>
    <t>Erythrocyte distribution width</t>
  </si>
  <si>
    <t>Erythrocyte distribution width (RBC) [Ratio]</t>
  </si>
  <si>
    <t>30428-7</t>
  </si>
  <si>
    <t>Erythrocyte mean corpuscular volume</t>
  </si>
  <si>
    <t>MCV (RBC) [Entitic vol]</t>
  </si>
  <si>
    <t>3084-1</t>
  </si>
  <si>
    <t>Urate</t>
  </si>
  <si>
    <t>Urate [Mass/Vol]</t>
  </si>
  <si>
    <t>6690-2</t>
  </si>
  <si>
    <t>Leukocytes</t>
  </si>
  <si>
    <t>WBC Auto (Bld) [#/Vol]</t>
  </si>
  <si>
    <t>714-6</t>
  </si>
  <si>
    <t>Eosinophils/100 leukocytes</t>
  </si>
  <si>
    <t>Eosinophils/100 WBC Manual cnt (Bld)</t>
  </si>
  <si>
    <t>718-7</t>
  </si>
  <si>
    <t>Hemoglobin</t>
  </si>
  <si>
    <t>Hemoglobin (Bld) [Mass/Vol]</t>
  </si>
  <si>
    <t>737-7</t>
  </si>
  <si>
    <t>Lymphocytes/100 leukocytes</t>
  </si>
  <si>
    <t>Lymphocytes/100 WBC Manual cnt (Bld)</t>
  </si>
  <si>
    <t>744-3</t>
  </si>
  <si>
    <t>Monocytes/100 leukocytes</t>
  </si>
  <si>
    <t>Monocytes/100 WBC Manual cnt (Bld)</t>
  </si>
  <si>
    <t>769-0</t>
  </si>
  <si>
    <t>Neutrophils.segmented/100 leukocytes</t>
  </si>
  <si>
    <t>Segmented neutrophils/100 WBC Manual cnt (Bld)</t>
  </si>
  <si>
    <t>777-3</t>
  </si>
  <si>
    <t>Platelets</t>
  </si>
  <si>
    <t>Platelets Auto (Bld) [#/Vol]</t>
  </si>
  <si>
    <t>789-8</t>
  </si>
  <si>
    <t>Erythrocytes</t>
  </si>
  <si>
    <t>RBC Auto (Bld) [#/Vol]</t>
  </si>
  <si>
    <t>Supplemental Table 2: List of laboratory values in the dataset as LOINC codes with their respective descriptions.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</si>
</sst>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4" numFmtId="49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2" numFmtId="49" xfId="0" applyAlignment="1" applyFont="1" applyNumberFormat="1">
      <alignment horizontal="left"/>
    </xf>
    <xf borderId="0" fillId="0" fontId="4" numFmtId="49" xfId="0" applyAlignment="1" applyFont="1" applyNumberFormat="1">
      <alignment horizontal="left" readingOrder="0"/>
    </xf>
    <xf borderId="0" fillId="0" fontId="4" numFmtId="49" xfId="0" applyAlignment="1" applyFont="1" applyNumberFormat="1">
      <alignment horizontal="left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4">
        <v>750.0</v>
      </c>
      <c r="K2" s="4">
        <v>8.65</v>
      </c>
      <c r="L2" s="4">
        <v>33.1</v>
      </c>
      <c r="N2" s="4">
        <v>134.0</v>
      </c>
      <c r="R2" s="4">
        <v>157.0</v>
      </c>
    </row>
    <row r="3">
      <c r="A3" s="3" t="s">
        <v>20</v>
      </c>
      <c r="B3" s="4">
        <v>1504.0</v>
      </c>
      <c r="K3" s="4">
        <v>1.2</v>
      </c>
      <c r="L3" s="4">
        <v>40.42</v>
      </c>
      <c r="N3" s="4">
        <v>7.0</v>
      </c>
      <c r="R3" s="4">
        <v>45.0</v>
      </c>
    </row>
    <row r="4">
      <c r="A4" s="3" t="s">
        <v>21</v>
      </c>
    </row>
    <row r="5">
      <c r="A5" s="3" t="s">
        <v>22</v>
      </c>
      <c r="B5" s="4">
        <v>661.0</v>
      </c>
      <c r="C5" s="4">
        <v>14.0</v>
      </c>
      <c r="D5" s="4">
        <v>30.9</v>
      </c>
      <c r="E5" s="4">
        <v>0.22</v>
      </c>
      <c r="F5" s="4">
        <v>28.0</v>
      </c>
      <c r="G5" s="4">
        <v>33.0</v>
      </c>
      <c r="H5" s="4">
        <v>26.0</v>
      </c>
      <c r="I5" s="4">
        <v>15.2</v>
      </c>
      <c r="J5" s="4">
        <v>84.0</v>
      </c>
      <c r="K5" s="4">
        <v>2.3</v>
      </c>
      <c r="L5" s="4">
        <v>112.51</v>
      </c>
      <c r="M5" s="4">
        <v>0.0</v>
      </c>
      <c r="N5" s="4">
        <v>10.2</v>
      </c>
      <c r="O5" s="4">
        <v>19.0</v>
      </c>
      <c r="P5" s="4">
        <v>0.0</v>
      </c>
      <c r="Q5" s="4">
        <v>6.0</v>
      </c>
      <c r="R5" s="4">
        <v>113.0</v>
      </c>
      <c r="S5" s="4">
        <v>3.7</v>
      </c>
    </row>
    <row r="6">
      <c r="A6" s="3" t="s">
        <v>23</v>
      </c>
    </row>
    <row r="7">
      <c r="A7" s="3" t="s">
        <v>24</v>
      </c>
      <c r="L7" s="4">
        <v>62.7</v>
      </c>
      <c r="N7" s="4">
        <v>46.0</v>
      </c>
      <c r="R7" s="4">
        <v>5.4</v>
      </c>
    </row>
    <row r="8">
      <c r="A8" s="3" t="s">
        <v>25</v>
      </c>
      <c r="B8" s="4">
        <v>190.0</v>
      </c>
      <c r="C8" s="4">
        <v>6.0</v>
      </c>
      <c r="D8" s="4">
        <v>11.6999998093</v>
      </c>
      <c r="E8" s="4">
        <v>0.3600000143</v>
      </c>
      <c r="F8" s="4">
        <v>31.0</v>
      </c>
      <c r="G8" s="4">
        <v>36.0</v>
      </c>
      <c r="H8" s="4">
        <v>15.0</v>
      </c>
      <c r="I8" s="4">
        <v>12.1000003815</v>
      </c>
      <c r="J8" s="4">
        <v>87.0</v>
      </c>
      <c r="K8" s="4">
        <v>2.7999999523</v>
      </c>
      <c r="L8" s="4">
        <v>3.9500000477</v>
      </c>
      <c r="M8" s="4">
        <v>0.0</v>
      </c>
      <c r="N8" s="4">
        <v>4.1999998093</v>
      </c>
      <c r="O8" s="4">
        <v>84.0</v>
      </c>
      <c r="P8" s="4">
        <v>8.0</v>
      </c>
      <c r="Q8" s="4">
        <v>0.0</v>
      </c>
      <c r="R8" s="4">
        <v>64.0</v>
      </c>
      <c r="S8" s="4">
        <v>1.3500000238</v>
      </c>
    </row>
    <row r="9">
      <c r="A9" s="3" t="s">
        <v>26</v>
      </c>
      <c r="L9" s="4">
        <v>7.3</v>
      </c>
      <c r="N9" s="4">
        <v>7.0</v>
      </c>
      <c r="R9" s="4">
        <v>48.0</v>
      </c>
    </row>
    <row r="10">
      <c r="A10" s="3" t="s">
        <v>27</v>
      </c>
      <c r="L10" s="4">
        <v>1.17</v>
      </c>
      <c r="N10" s="4">
        <v>7.3</v>
      </c>
      <c r="R10" s="4">
        <v>42.0</v>
      </c>
    </row>
    <row r="11">
      <c r="A11" s="3" t="s">
        <v>28</v>
      </c>
      <c r="L11" s="4">
        <v>105.0</v>
      </c>
      <c r="N11" s="4">
        <v>55.0</v>
      </c>
      <c r="R11" s="4">
        <v>4.5</v>
      </c>
    </row>
    <row r="12">
      <c r="A12" s="3" t="s">
        <v>29</v>
      </c>
      <c r="B12" s="4">
        <v>405.0</v>
      </c>
      <c r="K12" s="4">
        <v>4.1</v>
      </c>
      <c r="L12" s="4">
        <v>8.3</v>
      </c>
      <c r="N12" s="4">
        <v>9.1</v>
      </c>
      <c r="R12" s="4">
        <v>252.0</v>
      </c>
    </row>
    <row r="13">
      <c r="A13" s="3" t="s">
        <v>30</v>
      </c>
      <c r="B13" s="4">
        <v>1073.0</v>
      </c>
      <c r="C13" s="4">
        <v>6.0</v>
      </c>
      <c r="D13" s="4">
        <v>20.3999996185</v>
      </c>
      <c r="E13" s="4">
        <v>0.2099999934</v>
      </c>
      <c r="F13" s="4">
        <v>26.0</v>
      </c>
      <c r="G13" s="4">
        <v>32.0</v>
      </c>
      <c r="H13" s="4">
        <v>34.0</v>
      </c>
      <c r="I13" s="4">
        <v>16.7000007629</v>
      </c>
      <c r="J13" s="4">
        <v>81.0</v>
      </c>
      <c r="K13" s="4">
        <v>3.5999999046</v>
      </c>
      <c r="L13" s="4">
        <v>98.9300003052</v>
      </c>
      <c r="M13" s="4">
        <v>0.0</v>
      </c>
      <c r="N13" s="4">
        <v>6.5</v>
      </c>
      <c r="O13" s="4">
        <v>40.0</v>
      </c>
      <c r="P13" s="4">
        <v>0.0</v>
      </c>
      <c r="Q13" s="4">
        <v>0.0</v>
      </c>
      <c r="R13" s="4">
        <v>110.0</v>
      </c>
      <c r="S13" s="4">
        <v>2.5199999809</v>
      </c>
    </row>
    <row r="14">
      <c r="A14" s="3" t="s">
        <v>31</v>
      </c>
      <c r="B14" s="4">
        <v>838.0</v>
      </c>
      <c r="K14" s="4">
        <v>10.0</v>
      </c>
      <c r="L14" s="4">
        <v>13.07</v>
      </c>
      <c r="N14" s="4">
        <v>14.8</v>
      </c>
      <c r="R14" s="4">
        <v>365.0</v>
      </c>
    </row>
    <row r="15">
      <c r="A15" s="3" t="s">
        <v>32</v>
      </c>
      <c r="B15" s="4">
        <v>659.0</v>
      </c>
      <c r="C15" s="4">
        <v>20.0</v>
      </c>
      <c r="D15" s="4">
        <v>16.1000003815</v>
      </c>
      <c r="E15" s="4">
        <v>0.5099999905</v>
      </c>
      <c r="F15" s="4">
        <v>27.0</v>
      </c>
      <c r="G15" s="4">
        <v>34.0</v>
      </c>
      <c r="H15" s="4">
        <v>34.0</v>
      </c>
      <c r="I15" s="4">
        <v>15.0</v>
      </c>
      <c r="J15" s="4">
        <v>80.0</v>
      </c>
      <c r="K15" s="4">
        <v>4.6999998093</v>
      </c>
      <c r="L15" s="4">
        <v>70.9199981689</v>
      </c>
      <c r="M15" s="4">
        <v>0.0</v>
      </c>
      <c r="N15" s="4">
        <v>5.5</v>
      </c>
      <c r="O15" s="4">
        <v>7.0</v>
      </c>
      <c r="P15" s="4">
        <v>0.0</v>
      </c>
      <c r="Q15" s="4">
        <v>3.0</v>
      </c>
      <c r="R15" s="4">
        <v>118.0</v>
      </c>
      <c r="S15" s="4">
        <v>2.0099999905</v>
      </c>
    </row>
    <row r="16">
      <c r="A16" s="3" t="s">
        <v>33</v>
      </c>
      <c r="B16" s="4">
        <v>380.0</v>
      </c>
      <c r="K16" s="4">
        <v>1.2</v>
      </c>
      <c r="L16" s="4">
        <v>0.53</v>
      </c>
      <c r="N16" s="4">
        <v>9.2</v>
      </c>
      <c r="R16" s="4">
        <v>58.0</v>
      </c>
    </row>
    <row r="17">
      <c r="A17" s="3" t="s">
        <v>34</v>
      </c>
      <c r="B17" s="4">
        <v>570.0</v>
      </c>
      <c r="C17" s="4">
        <v>6.0</v>
      </c>
      <c r="D17" s="4">
        <v>32.2</v>
      </c>
      <c r="E17" s="4">
        <v>0.3</v>
      </c>
      <c r="F17" s="4">
        <v>25.0</v>
      </c>
      <c r="G17" s="4">
        <v>32.0</v>
      </c>
      <c r="H17" s="4">
        <v>25.0</v>
      </c>
      <c r="I17" s="4">
        <v>14.5</v>
      </c>
      <c r="J17" s="4">
        <v>77.0</v>
      </c>
      <c r="K17" s="4">
        <v>7.4</v>
      </c>
      <c r="L17" s="4">
        <v>8.18</v>
      </c>
      <c r="M17" s="4">
        <v>1.0</v>
      </c>
      <c r="N17" s="4">
        <v>10.4</v>
      </c>
      <c r="O17" s="4">
        <v>18.0</v>
      </c>
      <c r="P17" s="4">
        <v>6.0</v>
      </c>
      <c r="Q17" s="4">
        <v>4.2</v>
      </c>
      <c r="R17" s="4">
        <v>299.0</v>
      </c>
      <c r="S17" s="4">
        <v>4.2</v>
      </c>
    </row>
    <row r="18">
      <c r="A18" s="3" t="s">
        <v>35</v>
      </c>
      <c r="L18" s="4">
        <v>18.7</v>
      </c>
      <c r="N18" s="4">
        <v>6.9</v>
      </c>
      <c r="R18" s="4">
        <v>30.0</v>
      </c>
    </row>
    <row r="19">
      <c r="A19" s="3" t="s">
        <v>36</v>
      </c>
      <c r="L19" s="4">
        <v>102.0</v>
      </c>
      <c r="N19" s="4">
        <v>8.0</v>
      </c>
      <c r="R19" s="4">
        <v>21.0</v>
      </c>
    </row>
    <row r="20">
      <c r="A20" s="3" t="s">
        <v>37</v>
      </c>
      <c r="B20" s="4">
        <v>515.0</v>
      </c>
      <c r="C20" s="4">
        <v>7.0</v>
      </c>
      <c r="D20" s="4">
        <v>13.0</v>
      </c>
      <c r="E20" s="4">
        <v>0.3300000131</v>
      </c>
      <c r="F20" s="4">
        <v>31.0</v>
      </c>
      <c r="G20" s="4">
        <v>31.0</v>
      </c>
      <c r="H20" s="4">
        <v>22.0</v>
      </c>
      <c r="I20" s="4">
        <v>20.2999992371</v>
      </c>
      <c r="J20" s="4">
        <v>99.0</v>
      </c>
      <c r="K20" s="4">
        <v>4.6999998093</v>
      </c>
      <c r="L20" s="4">
        <v>29.2700004578</v>
      </c>
      <c r="M20" s="4">
        <v>0.0</v>
      </c>
      <c r="N20" s="4">
        <v>4.0</v>
      </c>
      <c r="O20" s="4">
        <v>32.0</v>
      </c>
      <c r="P20" s="4">
        <v>0.0</v>
      </c>
      <c r="Q20" s="4">
        <v>0.0</v>
      </c>
      <c r="R20" s="4">
        <v>17.0</v>
      </c>
      <c r="S20" s="4">
        <v>1.3099999428</v>
      </c>
    </row>
    <row r="21">
      <c r="A21" s="3" t="s">
        <v>38</v>
      </c>
      <c r="B21" s="4">
        <v>172.0</v>
      </c>
      <c r="K21" s="4">
        <v>5.1</v>
      </c>
      <c r="L21" s="4">
        <v>1.6</v>
      </c>
      <c r="N21" s="4">
        <v>12.7</v>
      </c>
      <c r="R21" s="4">
        <v>205.0</v>
      </c>
    </row>
    <row r="22">
      <c r="A22" s="3" t="s">
        <v>39</v>
      </c>
      <c r="L22" s="4">
        <v>54.7</v>
      </c>
      <c r="N22" s="4">
        <v>9.7</v>
      </c>
      <c r="R22" s="4">
        <v>16.0</v>
      </c>
    </row>
    <row r="23">
      <c r="A23" s="3" t="s">
        <v>40</v>
      </c>
      <c r="B23" s="4">
        <v>268.0</v>
      </c>
      <c r="C23" s="4">
        <v>16.0</v>
      </c>
      <c r="D23" s="4">
        <v>15.9</v>
      </c>
      <c r="E23" s="4">
        <v>0.94</v>
      </c>
      <c r="F23" s="4">
        <v>32.0</v>
      </c>
      <c r="G23" s="4">
        <v>35.0</v>
      </c>
      <c r="H23" s="4">
        <v>19.0</v>
      </c>
      <c r="I23" s="4">
        <v>17.5</v>
      </c>
      <c r="J23" s="4">
        <v>96.0</v>
      </c>
      <c r="K23" s="4">
        <v>4.5</v>
      </c>
      <c r="L23" s="4">
        <v>1.3</v>
      </c>
      <c r="M23" s="4">
        <v>2.0</v>
      </c>
      <c r="N23" s="4">
        <v>5.5</v>
      </c>
      <c r="O23" s="4">
        <v>36.0</v>
      </c>
      <c r="P23" s="4">
        <v>20.0</v>
      </c>
      <c r="Q23" s="4">
        <v>4.0</v>
      </c>
      <c r="R23" s="4">
        <v>34.0</v>
      </c>
      <c r="S23" s="4">
        <v>1.66</v>
      </c>
    </row>
    <row r="24">
      <c r="A24" s="3" t="s">
        <v>41</v>
      </c>
      <c r="B24" s="4">
        <v>543.0</v>
      </c>
      <c r="K24" s="4">
        <v>3.88</v>
      </c>
      <c r="L24" s="4">
        <v>13.83</v>
      </c>
      <c r="N24" s="4">
        <v>106.0</v>
      </c>
      <c r="R24" s="4">
        <v>209.0</v>
      </c>
    </row>
    <row r="25">
      <c r="A25" s="3" t="s">
        <v>42</v>
      </c>
      <c r="B25" s="4">
        <v>1198.0</v>
      </c>
      <c r="K25" s="4">
        <v>9.0</v>
      </c>
      <c r="L25" s="4">
        <v>17.43</v>
      </c>
      <c r="N25" s="4">
        <v>10.6</v>
      </c>
      <c r="R25" s="4">
        <v>30.0</v>
      </c>
    </row>
    <row r="26">
      <c r="A26" s="3" t="s">
        <v>43</v>
      </c>
      <c r="B26" s="4">
        <v>982.0</v>
      </c>
      <c r="C26" s="4">
        <v>8.0</v>
      </c>
      <c r="D26" s="4">
        <v>24.8</v>
      </c>
      <c r="E26" s="4">
        <v>0.63</v>
      </c>
      <c r="F26" s="4">
        <v>34.0</v>
      </c>
      <c r="G26" s="4">
        <v>33.0</v>
      </c>
      <c r="H26" s="4">
        <v>19.0</v>
      </c>
      <c r="I26" s="4">
        <v>16.8</v>
      </c>
      <c r="J26" s="4">
        <v>103.0</v>
      </c>
      <c r="K26" s="4">
        <v>3.5</v>
      </c>
      <c r="L26" s="4">
        <v>134.43</v>
      </c>
      <c r="M26" s="4">
        <v>0.0</v>
      </c>
      <c r="N26" s="4">
        <v>8.1</v>
      </c>
      <c r="O26" s="4">
        <v>2.0</v>
      </c>
      <c r="P26" s="4">
        <v>0.0</v>
      </c>
      <c r="Q26" s="4">
        <v>2.0</v>
      </c>
      <c r="R26" s="4">
        <v>173.0</v>
      </c>
      <c r="S26" s="4">
        <v>2.4</v>
      </c>
    </row>
    <row r="27">
      <c r="A27" s="3" t="s">
        <v>44</v>
      </c>
      <c r="B27" s="4">
        <v>705.0</v>
      </c>
      <c r="K27" s="4">
        <v>5.1</v>
      </c>
      <c r="L27" s="4">
        <v>218.2</v>
      </c>
      <c r="N27" s="4">
        <v>6.7</v>
      </c>
      <c r="R27" s="4">
        <v>5.0</v>
      </c>
    </row>
    <row r="28">
      <c r="A28" s="3" t="s">
        <v>45</v>
      </c>
      <c r="B28" s="4">
        <v>3030.0</v>
      </c>
      <c r="K28" s="4">
        <v>2.3</v>
      </c>
      <c r="L28" s="4">
        <v>16.23</v>
      </c>
      <c r="N28" s="4">
        <v>11.1</v>
      </c>
      <c r="R28" s="4">
        <v>190.0</v>
      </c>
    </row>
    <row r="29">
      <c r="A29" s="3" t="s">
        <v>46</v>
      </c>
      <c r="B29" s="4">
        <v>441.0</v>
      </c>
      <c r="C29" s="4">
        <v>57.0</v>
      </c>
      <c r="D29" s="4">
        <v>12.0</v>
      </c>
      <c r="E29" s="4">
        <v>0.3000000119</v>
      </c>
      <c r="F29" s="4">
        <v>30.0</v>
      </c>
      <c r="G29" s="4">
        <v>33.0</v>
      </c>
      <c r="H29" s="4">
        <v>46.0</v>
      </c>
      <c r="I29" s="4">
        <v>15.8999996185</v>
      </c>
      <c r="J29" s="4">
        <v>93.0</v>
      </c>
      <c r="K29" s="4">
        <v>5.3000001907</v>
      </c>
      <c r="L29" s="4">
        <v>5.9499998093</v>
      </c>
      <c r="M29" s="4">
        <v>1.0</v>
      </c>
      <c r="N29" s="4">
        <v>3.9000000954</v>
      </c>
      <c r="O29" s="4">
        <v>79.0</v>
      </c>
      <c r="P29" s="4">
        <v>0.0</v>
      </c>
      <c r="Q29" s="4">
        <v>2.0</v>
      </c>
      <c r="R29" s="4">
        <v>6.0</v>
      </c>
      <c r="S29" s="4">
        <v>1.2899999619</v>
      </c>
    </row>
    <row r="30">
      <c r="A30" s="3" t="s">
        <v>47</v>
      </c>
      <c r="B30" s="4">
        <v>915.0</v>
      </c>
      <c r="C30" s="4">
        <v>18.0</v>
      </c>
      <c r="D30" s="4">
        <v>33.0</v>
      </c>
      <c r="E30" s="4">
        <v>0.97</v>
      </c>
      <c r="F30" s="4">
        <v>30.2</v>
      </c>
      <c r="G30" s="4">
        <v>33.3</v>
      </c>
      <c r="H30" s="4">
        <v>46.0</v>
      </c>
      <c r="I30" s="4">
        <v>15.6</v>
      </c>
      <c r="J30" s="4">
        <v>90.5</v>
      </c>
      <c r="K30" s="4">
        <v>9.2</v>
      </c>
      <c r="L30" s="4">
        <v>162.1</v>
      </c>
      <c r="M30" s="4">
        <v>0.8</v>
      </c>
      <c r="N30" s="4">
        <v>11.4</v>
      </c>
      <c r="O30" s="4">
        <v>5.6</v>
      </c>
      <c r="P30" s="4">
        <v>3.0</v>
      </c>
      <c r="Q30" s="4">
        <v>66.0</v>
      </c>
      <c r="R30" s="4">
        <v>602.0</v>
      </c>
      <c r="S30" s="4">
        <v>3.72</v>
      </c>
    </row>
    <row r="31">
      <c r="A31" s="3" t="s">
        <v>48</v>
      </c>
      <c r="B31" s="4">
        <v>595.0</v>
      </c>
      <c r="C31" s="4">
        <v>10.0</v>
      </c>
      <c r="D31" s="4">
        <v>26.0</v>
      </c>
      <c r="E31" s="4">
        <v>0.61</v>
      </c>
      <c r="F31" s="4">
        <v>28.7</v>
      </c>
      <c r="G31" s="4">
        <v>32.9</v>
      </c>
      <c r="H31" s="4">
        <v>26.0</v>
      </c>
      <c r="J31" s="4">
        <v>87.2</v>
      </c>
      <c r="K31" s="4">
        <v>4.8</v>
      </c>
      <c r="L31" s="4">
        <v>271.8</v>
      </c>
      <c r="M31" s="4">
        <v>6.0</v>
      </c>
      <c r="N31" s="4">
        <v>8.5</v>
      </c>
      <c r="O31" s="4">
        <v>8.0</v>
      </c>
      <c r="P31" s="4">
        <v>6.0</v>
      </c>
      <c r="Q31" s="4">
        <v>23.0</v>
      </c>
      <c r="R31" s="4">
        <v>580.0</v>
      </c>
      <c r="S31" s="4">
        <v>3.0</v>
      </c>
    </row>
    <row r="32">
      <c r="A32" s="3" t="s">
        <v>49</v>
      </c>
      <c r="D32" s="4">
        <v>20.0</v>
      </c>
      <c r="F32" s="4">
        <v>29.8</v>
      </c>
      <c r="G32" s="4">
        <v>34.0</v>
      </c>
      <c r="I32" s="4">
        <v>18.7</v>
      </c>
      <c r="J32" s="4">
        <v>86.0</v>
      </c>
      <c r="L32" s="4">
        <v>358.9</v>
      </c>
      <c r="M32" s="4">
        <v>8.0</v>
      </c>
      <c r="N32" s="4">
        <v>6.29</v>
      </c>
      <c r="O32" s="4">
        <v>0.0</v>
      </c>
      <c r="P32" s="4">
        <v>4.0</v>
      </c>
      <c r="Q32" s="4">
        <v>25.0</v>
      </c>
      <c r="R32" s="4">
        <v>1299.0</v>
      </c>
      <c r="S32" s="4">
        <v>2.32</v>
      </c>
    </row>
    <row r="33">
      <c r="A33" s="3" t="s">
        <v>50</v>
      </c>
      <c r="D33" s="4">
        <v>19.1</v>
      </c>
      <c r="F33" s="4">
        <v>31.8</v>
      </c>
      <c r="G33" s="4">
        <v>36.1</v>
      </c>
      <c r="I33" s="4">
        <v>19.6</v>
      </c>
      <c r="J33" s="4">
        <v>88.0</v>
      </c>
      <c r="L33" s="4">
        <v>293.9</v>
      </c>
      <c r="M33" s="4">
        <v>3.0</v>
      </c>
      <c r="N33" s="4">
        <v>8.9</v>
      </c>
      <c r="O33" s="4">
        <v>3.0</v>
      </c>
      <c r="P33" s="4">
        <v>1.0</v>
      </c>
      <c r="Q33" s="4">
        <v>46.0</v>
      </c>
      <c r="R33" s="4">
        <v>618.0</v>
      </c>
      <c r="S33" s="4">
        <v>2.17</v>
      </c>
    </row>
    <row r="34">
      <c r="A34" s="3" t="s">
        <v>51</v>
      </c>
      <c r="B34" s="4">
        <v>402.0</v>
      </c>
      <c r="K34" s="4">
        <v>4.3</v>
      </c>
      <c r="L34" s="4">
        <v>24.6</v>
      </c>
      <c r="N34" s="4">
        <v>8.8</v>
      </c>
      <c r="R34" s="4">
        <v>317.0</v>
      </c>
    </row>
    <row r="35">
      <c r="A35" s="3" t="s">
        <v>52</v>
      </c>
      <c r="B35" s="4">
        <v>338.0</v>
      </c>
      <c r="C35" s="4">
        <v>12.0</v>
      </c>
      <c r="D35" s="4">
        <v>21.3999996185</v>
      </c>
      <c r="E35" s="4">
        <v>0.4399999976</v>
      </c>
      <c r="F35" s="4">
        <v>32.0</v>
      </c>
      <c r="G35" s="4">
        <v>36.0</v>
      </c>
      <c r="H35" s="4">
        <v>21.0</v>
      </c>
      <c r="I35" s="4">
        <v>16.5</v>
      </c>
      <c r="J35" s="4">
        <v>93.0</v>
      </c>
      <c r="K35" s="4">
        <v>3.0</v>
      </c>
      <c r="L35" s="4">
        <v>2.25</v>
      </c>
      <c r="M35" s="4">
        <v>5.0</v>
      </c>
      <c r="N35" s="4">
        <v>6.6999998093</v>
      </c>
      <c r="O35" s="4">
        <v>66.0</v>
      </c>
      <c r="P35" s="4">
        <v>1.0</v>
      </c>
      <c r="Q35" s="4">
        <v>8.0</v>
      </c>
      <c r="R35" s="4">
        <v>22.0</v>
      </c>
      <c r="S35" s="4">
        <v>2.2999999523</v>
      </c>
    </row>
    <row r="36">
      <c r="A36" s="3" t="s">
        <v>53</v>
      </c>
      <c r="D36" s="4">
        <v>46.0</v>
      </c>
      <c r="F36" s="4">
        <v>29.0</v>
      </c>
      <c r="G36" s="4">
        <v>33.4</v>
      </c>
      <c r="J36" s="4">
        <v>87.0</v>
      </c>
      <c r="L36" s="4">
        <v>52.42</v>
      </c>
      <c r="M36" s="4">
        <v>1.0</v>
      </c>
      <c r="N36" s="4">
        <v>15.3</v>
      </c>
      <c r="O36" s="4">
        <v>5.0</v>
      </c>
      <c r="Q36" s="4">
        <v>64.0</v>
      </c>
      <c r="R36" s="4">
        <v>363.0</v>
      </c>
      <c r="S36" s="4">
        <v>5.27</v>
      </c>
    </row>
    <row r="37">
      <c r="A37" s="3" t="s">
        <v>54</v>
      </c>
      <c r="B37" s="4">
        <v>848.0</v>
      </c>
      <c r="K37" s="4">
        <v>0.4</v>
      </c>
      <c r="L37" s="4">
        <v>36.43</v>
      </c>
      <c r="N37" s="4">
        <v>7.0</v>
      </c>
      <c r="R37" s="4">
        <v>35.0</v>
      </c>
    </row>
    <row r="38">
      <c r="A38" s="3" t="s">
        <v>55</v>
      </c>
      <c r="B38" s="4">
        <v>979.0</v>
      </c>
      <c r="C38" s="4">
        <v>12.0</v>
      </c>
      <c r="D38" s="4">
        <v>18.7</v>
      </c>
      <c r="E38" s="4">
        <v>0.39</v>
      </c>
      <c r="F38" s="4">
        <v>32.5</v>
      </c>
      <c r="G38" s="4">
        <v>35.3</v>
      </c>
      <c r="I38" s="4">
        <v>19.0</v>
      </c>
      <c r="J38" s="4">
        <v>92.1</v>
      </c>
      <c r="K38" s="4">
        <v>4.49</v>
      </c>
      <c r="L38" s="4">
        <v>514.3</v>
      </c>
      <c r="M38" s="4">
        <v>2.0</v>
      </c>
      <c r="N38" s="4">
        <v>6.6</v>
      </c>
      <c r="O38" s="4">
        <v>4.0</v>
      </c>
      <c r="P38" s="4">
        <v>0.0</v>
      </c>
      <c r="Q38" s="4">
        <v>35.0</v>
      </c>
      <c r="R38" s="4">
        <v>352.0</v>
      </c>
      <c r="S38" s="4">
        <v>2.03</v>
      </c>
    </row>
    <row r="39">
      <c r="A39" s="3" t="s">
        <v>56</v>
      </c>
      <c r="B39" s="4">
        <v>422.0</v>
      </c>
      <c r="C39" s="4">
        <v>5.0</v>
      </c>
      <c r="D39" s="4">
        <v>25.7</v>
      </c>
      <c r="E39" s="4">
        <v>0.44</v>
      </c>
      <c r="F39" s="4">
        <v>33.0</v>
      </c>
      <c r="G39" s="4">
        <v>37.0</v>
      </c>
      <c r="H39" s="4">
        <v>17.0</v>
      </c>
      <c r="I39" s="4">
        <v>19.8</v>
      </c>
      <c r="J39" s="4">
        <v>91.0</v>
      </c>
      <c r="K39" s="4">
        <v>4.5</v>
      </c>
      <c r="L39" s="4">
        <v>30.4</v>
      </c>
      <c r="M39" s="4">
        <v>0.0</v>
      </c>
      <c r="N39" s="4">
        <v>9.4</v>
      </c>
      <c r="O39" s="4">
        <v>9.0</v>
      </c>
      <c r="P39" s="4">
        <v>1.0</v>
      </c>
      <c r="Q39" s="4">
        <v>7.0</v>
      </c>
      <c r="R39" s="4">
        <v>65.0</v>
      </c>
      <c r="S39" s="4">
        <v>2.82</v>
      </c>
    </row>
    <row r="40">
      <c r="A40" s="3" t="s">
        <v>57</v>
      </c>
      <c r="B40" s="4">
        <v>479.0</v>
      </c>
      <c r="C40" s="4">
        <v>8.0</v>
      </c>
      <c r="D40" s="4">
        <v>25.0</v>
      </c>
      <c r="E40" s="4">
        <v>0.2199999988</v>
      </c>
      <c r="F40" s="4">
        <v>25.0</v>
      </c>
      <c r="G40" s="4">
        <v>32.0</v>
      </c>
      <c r="H40" s="4">
        <v>32.0</v>
      </c>
      <c r="I40" s="4">
        <v>16.2999992371</v>
      </c>
      <c r="J40" s="4">
        <v>78.0</v>
      </c>
      <c r="K40" s="4">
        <v>2.7000000477</v>
      </c>
      <c r="L40" s="4">
        <v>12.2399997711</v>
      </c>
      <c r="M40" s="4">
        <v>0.0</v>
      </c>
      <c r="N40" s="4">
        <v>8.0</v>
      </c>
      <c r="O40" s="4">
        <v>22.0</v>
      </c>
      <c r="P40" s="4">
        <v>3.0</v>
      </c>
      <c r="Q40" s="4">
        <v>14.0</v>
      </c>
      <c r="R40" s="4">
        <v>194.0</v>
      </c>
      <c r="S40" s="4">
        <v>3.2200000286</v>
      </c>
    </row>
    <row r="41">
      <c r="A41" s="3" t="s">
        <v>58</v>
      </c>
      <c r="B41" s="4">
        <v>361.0</v>
      </c>
      <c r="C41" s="4">
        <v>22.0</v>
      </c>
      <c r="D41" s="4">
        <v>25.8999996185</v>
      </c>
      <c r="E41" s="4">
        <v>0.4900000095</v>
      </c>
      <c r="F41" s="4">
        <v>28.0</v>
      </c>
      <c r="G41" s="4">
        <v>34.0</v>
      </c>
      <c r="H41" s="4">
        <v>36.0</v>
      </c>
      <c r="I41" s="4">
        <v>15.0</v>
      </c>
      <c r="J41" s="4">
        <v>83.0</v>
      </c>
      <c r="K41" s="4">
        <v>2.7000000477</v>
      </c>
      <c r="L41" s="4">
        <v>2.7200000286</v>
      </c>
      <c r="M41" s="4">
        <v>0.0</v>
      </c>
      <c r="N41" s="4">
        <v>8.6999998093</v>
      </c>
      <c r="O41" s="4">
        <v>12.0</v>
      </c>
      <c r="P41" s="4">
        <v>2.0</v>
      </c>
      <c r="Q41" s="4">
        <v>36.0</v>
      </c>
      <c r="R41" s="4">
        <v>125.0</v>
      </c>
      <c r="S41" s="4">
        <v>3.1300001144</v>
      </c>
    </row>
    <row r="42">
      <c r="A42" s="3" t="s">
        <v>59</v>
      </c>
      <c r="L42" s="4">
        <v>3.1</v>
      </c>
      <c r="N42" s="4">
        <v>4.4</v>
      </c>
      <c r="R42" s="4">
        <v>39.0</v>
      </c>
    </row>
    <row r="43">
      <c r="A43" s="3" t="s">
        <v>60</v>
      </c>
      <c r="B43" s="4">
        <v>996.0</v>
      </c>
      <c r="C43" s="4">
        <v>8.0</v>
      </c>
      <c r="D43" s="4">
        <v>25.7</v>
      </c>
      <c r="E43" s="4">
        <v>0.31</v>
      </c>
      <c r="F43" s="4">
        <v>27.0</v>
      </c>
      <c r="G43" s="4">
        <v>31.0</v>
      </c>
      <c r="H43" s="4">
        <v>44.0</v>
      </c>
      <c r="I43" s="4">
        <v>16.1</v>
      </c>
      <c r="J43" s="4">
        <v>86.0</v>
      </c>
      <c r="K43" s="4">
        <v>4.1</v>
      </c>
      <c r="L43" s="4">
        <v>19.07</v>
      </c>
      <c r="M43" s="4">
        <v>0.0</v>
      </c>
      <c r="N43" s="4">
        <v>8.0</v>
      </c>
      <c r="O43" s="4">
        <v>32.0</v>
      </c>
      <c r="P43" s="4">
        <v>1.0</v>
      </c>
      <c r="Q43" s="4">
        <v>4.0</v>
      </c>
      <c r="R43" s="4">
        <v>141.0</v>
      </c>
      <c r="S43" s="4">
        <v>2.98</v>
      </c>
    </row>
    <row r="44">
      <c r="A44" s="3" t="s">
        <v>61</v>
      </c>
      <c r="B44" s="4">
        <v>340.0</v>
      </c>
      <c r="C44" s="4">
        <v>448.0</v>
      </c>
      <c r="D44" s="4">
        <v>19.0</v>
      </c>
      <c r="E44" s="4">
        <v>0.3100000024</v>
      </c>
      <c r="F44" s="4">
        <v>27.0</v>
      </c>
      <c r="G44" s="4">
        <v>33.0</v>
      </c>
      <c r="H44" s="4">
        <v>262.0</v>
      </c>
      <c r="I44" s="4">
        <v>14.6000003815</v>
      </c>
      <c r="J44" s="4">
        <v>82.0</v>
      </c>
      <c r="K44" s="4">
        <v>4.1999998093</v>
      </c>
      <c r="L44" s="4">
        <v>2.1900000572</v>
      </c>
      <c r="M44" s="4">
        <v>0.0</v>
      </c>
      <c r="N44" s="4">
        <v>6.3000001907</v>
      </c>
      <c r="O44" s="4">
        <v>72.0</v>
      </c>
      <c r="P44" s="4">
        <v>10.0</v>
      </c>
      <c r="Q44" s="4">
        <v>12.0</v>
      </c>
      <c r="R44" s="4">
        <v>235.0</v>
      </c>
      <c r="S44" s="4">
        <v>2.3199999332</v>
      </c>
    </row>
    <row r="45">
      <c r="A45" s="3" t="s">
        <v>62</v>
      </c>
      <c r="B45" s="4">
        <v>274.0</v>
      </c>
      <c r="C45" s="4">
        <v>14.0</v>
      </c>
      <c r="D45" s="4">
        <v>29.0</v>
      </c>
      <c r="E45" s="4">
        <v>0.5600000024</v>
      </c>
      <c r="F45" s="4">
        <v>30.0</v>
      </c>
      <c r="G45" s="4">
        <v>33.0</v>
      </c>
      <c r="H45" s="4">
        <v>35.0</v>
      </c>
      <c r="I45" s="4">
        <v>13.0</v>
      </c>
      <c r="J45" s="4">
        <v>88.0</v>
      </c>
      <c r="K45" s="4">
        <v>3.7999999523</v>
      </c>
      <c r="L45" s="4">
        <v>6.6900000572</v>
      </c>
      <c r="M45" s="4">
        <v>0.0</v>
      </c>
      <c r="N45" s="4">
        <v>9.8000001907</v>
      </c>
      <c r="O45" s="4">
        <v>88.0</v>
      </c>
      <c r="P45" s="4">
        <v>1.0</v>
      </c>
      <c r="Q45" s="4">
        <v>9.0</v>
      </c>
      <c r="R45" s="4">
        <v>75.0</v>
      </c>
      <c r="S45" s="4">
        <v>3.2799999714</v>
      </c>
    </row>
    <row r="46">
      <c r="A46" s="3" t="s">
        <v>63</v>
      </c>
      <c r="B46" s="4">
        <v>786.0</v>
      </c>
      <c r="K46" s="4">
        <v>2.3</v>
      </c>
      <c r="L46" s="4">
        <v>15.06</v>
      </c>
      <c r="N46" s="4">
        <v>7.7</v>
      </c>
      <c r="R46" s="4">
        <v>34.0</v>
      </c>
    </row>
    <row r="47">
      <c r="A47" s="3" t="s">
        <v>64</v>
      </c>
      <c r="B47" s="4">
        <v>670.0</v>
      </c>
      <c r="K47" s="4">
        <v>4.1</v>
      </c>
      <c r="L47" s="4">
        <v>1.1</v>
      </c>
      <c r="N47" s="4">
        <v>10.2</v>
      </c>
      <c r="R47" s="4">
        <v>17.0</v>
      </c>
    </row>
    <row r="48">
      <c r="A48" s="3" t="s">
        <v>65</v>
      </c>
      <c r="B48" s="4">
        <v>415.0</v>
      </c>
      <c r="C48" s="4">
        <v>38.0</v>
      </c>
      <c r="D48" s="4">
        <v>30.3999996185</v>
      </c>
      <c r="E48" s="4">
        <v>0.5600000024</v>
      </c>
      <c r="F48" s="4">
        <v>28.0</v>
      </c>
      <c r="G48" s="4">
        <v>34.0</v>
      </c>
      <c r="H48" s="4">
        <v>42.0</v>
      </c>
      <c r="I48" s="4">
        <v>13.6000003815</v>
      </c>
      <c r="J48" s="4">
        <v>83.0</v>
      </c>
      <c r="K48" s="4">
        <v>4.5999999046</v>
      </c>
      <c r="L48" s="4">
        <v>2.4500000477</v>
      </c>
      <c r="M48" s="4">
        <v>1.0</v>
      </c>
      <c r="N48" s="4">
        <v>10.3000001907</v>
      </c>
      <c r="O48" s="4">
        <v>64.0</v>
      </c>
      <c r="P48" s="4">
        <v>4.0</v>
      </c>
      <c r="Q48" s="4">
        <v>2.0</v>
      </c>
      <c r="R48" s="4">
        <v>13.0</v>
      </c>
      <c r="S48" s="4">
        <v>3.7599999905</v>
      </c>
    </row>
    <row r="49">
      <c r="A49" s="3" t="s">
        <v>66</v>
      </c>
      <c r="B49" s="4">
        <v>1052.0</v>
      </c>
      <c r="K49" s="4">
        <v>4.1</v>
      </c>
      <c r="L49" s="4">
        <v>51.3</v>
      </c>
      <c r="N49" s="4">
        <v>8.6</v>
      </c>
      <c r="R49" s="4">
        <v>113.0</v>
      </c>
    </row>
    <row r="50">
      <c r="A50" s="3" t="s">
        <v>67</v>
      </c>
      <c r="L50" s="4">
        <v>64.69</v>
      </c>
      <c r="N50" s="4">
        <v>5.2</v>
      </c>
      <c r="R50" s="4">
        <v>21.0</v>
      </c>
    </row>
    <row r="51">
      <c r="A51" s="3" t="s">
        <v>68</v>
      </c>
      <c r="B51" s="4">
        <v>297.0</v>
      </c>
      <c r="C51" s="4">
        <v>10.0</v>
      </c>
      <c r="D51" s="4">
        <v>21.0</v>
      </c>
      <c r="E51" s="4">
        <v>0.3199999928</v>
      </c>
      <c r="F51" s="4">
        <v>29.0</v>
      </c>
      <c r="G51" s="4">
        <v>33.0</v>
      </c>
      <c r="H51" s="4">
        <v>32.0</v>
      </c>
      <c r="I51" s="4">
        <v>17.2000007629</v>
      </c>
      <c r="J51" s="4">
        <v>89.0</v>
      </c>
      <c r="K51" s="4">
        <v>3.7999999523</v>
      </c>
      <c r="L51" s="4">
        <v>6.2699999809</v>
      </c>
      <c r="M51" s="4">
        <v>1.0</v>
      </c>
      <c r="N51" s="4">
        <v>6.9000000954</v>
      </c>
      <c r="O51" s="4">
        <v>38.0</v>
      </c>
      <c r="P51" s="4">
        <v>1.0</v>
      </c>
      <c r="Q51" s="4">
        <v>5.0</v>
      </c>
      <c r="R51" s="4">
        <v>28.0</v>
      </c>
      <c r="S51" s="4">
        <v>2.3599998951</v>
      </c>
    </row>
    <row r="52">
      <c r="A52" s="3" t="s">
        <v>69</v>
      </c>
      <c r="B52" s="4">
        <v>290.0</v>
      </c>
      <c r="C52" s="4">
        <v>21.0</v>
      </c>
      <c r="D52" s="4">
        <v>25.7999992371</v>
      </c>
      <c r="E52" s="4">
        <v>0.3300000131</v>
      </c>
      <c r="F52" s="4">
        <v>31.0</v>
      </c>
      <c r="G52" s="4">
        <v>35.0</v>
      </c>
      <c r="H52" s="4">
        <v>43.0</v>
      </c>
      <c r="I52" s="4">
        <v>13.6999998093</v>
      </c>
      <c r="J52" s="4">
        <v>88.0</v>
      </c>
      <c r="K52" s="4">
        <v>1.7999999523</v>
      </c>
      <c r="L52" s="4">
        <v>1.6200000048</v>
      </c>
      <c r="M52" s="4">
        <v>0.0</v>
      </c>
      <c r="N52" s="4">
        <v>9.0</v>
      </c>
      <c r="O52" s="4">
        <v>70.0</v>
      </c>
      <c r="P52" s="4">
        <v>0.0</v>
      </c>
      <c r="Q52" s="4">
        <v>10.0</v>
      </c>
      <c r="R52" s="4">
        <v>88.0</v>
      </c>
      <c r="S52" s="4">
        <v>2.9500000477</v>
      </c>
    </row>
    <row r="53">
      <c r="A53" s="3" t="s">
        <v>70</v>
      </c>
      <c r="L53" s="4">
        <v>241.0</v>
      </c>
      <c r="N53" s="4">
        <v>7.9</v>
      </c>
      <c r="R53" s="4">
        <v>241.0</v>
      </c>
    </row>
    <row r="54">
      <c r="A54" s="3" t="s">
        <v>71</v>
      </c>
      <c r="M54" s="4">
        <v>1.0</v>
      </c>
      <c r="O54" s="4">
        <v>3.0</v>
      </c>
      <c r="P54" s="4">
        <v>5.0</v>
      </c>
      <c r="Q54" s="4">
        <v>31.0</v>
      </c>
    </row>
    <row r="55">
      <c r="A55" s="3" t="s">
        <v>72</v>
      </c>
      <c r="D55" s="4">
        <v>41.3</v>
      </c>
      <c r="F55" s="4">
        <v>28.6</v>
      </c>
      <c r="G55" s="4">
        <v>35.1</v>
      </c>
      <c r="I55" s="4">
        <v>15.0</v>
      </c>
      <c r="J55" s="4">
        <v>81.5</v>
      </c>
      <c r="L55" s="4">
        <v>43.62</v>
      </c>
      <c r="M55" s="4">
        <v>1.2</v>
      </c>
      <c r="N55" s="4">
        <v>14.5</v>
      </c>
      <c r="O55" s="4">
        <v>12.0</v>
      </c>
      <c r="P55" s="4">
        <v>3.1</v>
      </c>
      <c r="R55" s="4">
        <v>252.0</v>
      </c>
      <c r="S55" s="4">
        <v>5.07</v>
      </c>
    </row>
    <row r="56">
      <c r="A56" s="3" t="s">
        <v>73</v>
      </c>
      <c r="D56" s="4">
        <v>26.6</v>
      </c>
      <c r="F56" s="4">
        <v>30.7</v>
      </c>
      <c r="G56" s="4">
        <v>36.5</v>
      </c>
      <c r="I56" s="4">
        <v>17.0</v>
      </c>
      <c r="J56" s="4">
        <v>84.2</v>
      </c>
      <c r="L56" s="4">
        <v>234.67</v>
      </c>
      <c r="M56" s="4">
        <v>2.7</v>
      </c>
      <c r="N56" s="4">
        <v>9.7</v>
      </c>
      <c r="O56" s="4">
        <v>4.2</v>
      </c>
      <c r="P56" s="4">
        <v>4.6</v>
      </c>
      <c r="R56" s="4">
        <v>540.0</v>
      </c>
      <c r="S56" s="4">
        <v>3.16</v>
      </c>
    </row>
    <row r="57">
      <c r="A57" s="3" t="s">
        <v>74</v>
      </c>
      <c r="B57" s="4">
        <v>783.0</v>
      </c>
      <c r="K57" s="4">
        <v>3.8</v>
      </c>
      <c r="L57" s="4">
        <v>68.9</v>
      </c>
      <c r="N57" s="4">
        <v>4.9</v>
      </c>
      <c r="R57" s="4">
        <v>54.0</v>
      </c>
    </row>
    <row r="58">
      <c r="A58" s="3" t="s">
        <v>75</v>
      </c>
      <c r="B58" s="4">
        <v>1156.0</v>
      </c>
      <c r="K58" s="4">
        <v>13.09</v>
      </c>
      <c r="L58" s="4">
        <v>291.1</v>
      </c>
      <c r="N58" s="4">
        <v>47.0</v>
      </c>
      <c r="R58" s="4">
        <v>49.0</v>
      </c>
    </row>
    <row r="59">
      <c r="A59" s="3" t="s">
        <v>76</v>
      </c>
      <c r="B59" s="4">
        <v>1320.0</v>
      </c>
      <c r="C59" s="4">
        <v>10.0</v>
      </c>
      <c r="D59" s="4">
        <v>26.2000007629</v>
      </c>
      <c r="E59" s="4">
        <v>0.349999994</v>
      </c>
      <c r="F59" s="4">
        <v>27.0</v>
      </c>
      <c r="G59" s="4">
        <v>34.0</v>
      </c>
      <c r="H59" s="4">
        <v>37.0</v>
      </c>
      <c r="I59" s="4">
        <v>17.2999992371</v>
      </c>
      <c r="J59" s="4">
        <v>80.0</v>
      </c>
      <c r="K59" s="4">
        <v>8.1000003815</v>
      </c>
      <c r="L59" s="4">
        <v>25.0900001526</v>
      </c>
      <c r="M59" s="4">
        <v>0.0</v>
      </c>
      <c r="N59" s="4">
        <v>8.8000001907</v>
      </c>
      <c r="O59" s="4">
        <v>48.0</v>
      </c>
      <c r="P59" s="4">
        <v>2.0</v>
      </c>
      <c r="Q59" s="4">
        <v>17.0</v>
      </c>
      <c r="R59" s="4">
        <v>53.0</v>
      </c>
      <c r="S59" s="4">
        <v>3.2899999619</v>
      </c>
    </row>
    <row r="60">
      <c r="A60" s="3" t="s">
        <v>77</v>
      </c>
      <c r="B60" s="4">
        <v>285.0</v>
      </c>
      <c r="K60" s="4">
        <v>4.1</v>
      </c>
    </row>
    <row r="61">
      <c r="A61" s="3" t="s">
        <v>78</v>
      </c>
      <c r="L61" s="4">
        <v>128.0</v>
      </c>
      <c r="N61" s="4">
        <v>7.9</v>
      </c>
      <c r="R61" s="4">
        <v>121.0</v>
      </c>
    </row>
    <row r="62">
      <c r="A62" s="3" t="s">
        <v>79</v>
      </c>
      <c r="L62" s="4">
        <v>12.75</v>
      </c>
      <c r="N62" s="4">
        <v>8.0</v>
      </c>
      <c r="R62" s="4">
        <v>100.0</v>
      </c>
    </row>
    <row r="63">
      <c r="A63" s="3" t="s">
        <v>80</v>
      </c>
      <c r="B63" s="4">
        <v>768.0</v>
      </c>
      <c r="C63" s="4">
        <v>14.0</v>
      </c>
      <c r="D63" s="4">
        <v>19.1</v>
      </c>
      <c r="E63" s="4">
        <v>0.4</v>
      </c>
      <c r="F63" s="4">
        <v>29.3</v>
      </c>
      <c r="G63" s="4">
        <v>34.6</v>
      </c>
      <c r="H63" s="4">
        <v>40.0</v>
      </c>
      <c r="J63" s="4">
        <v>84.9</v>
      </c>
      <c r="K63" s="4">
        <v>6.5</v>
      </c>
      <c r="L63" s="4">
        <v>324.46</v>
      </c>
      <c r="M63" s="4">
        <v>5.0</v>
      </c>
      <c r="N63" s="4">
        <v>6.6</v>
      </c>
      <c r="O63" s="4">
        <v>5.0</v>
      </c>
      <c r="P63" s="4">
        <v>1.0</v>
      </c>
      <c r="Q63" s="4">
        <v>35.0</v>
      </c>
      <c r="R63" s="4">
        <v>1225.0</v>
      </c>
      <c r="S63" s="4">
        <v>2.25</v>
      </c>
    </row>
    <row r="64">
      <c r="A64" s="3" t="s">
        <v>81</v>
      </c>
    </row>
    <row r="65">
      <c r="A65" s="3" t="s">
        <v>82</v>
      </c>
      <c r="B65" s="4">
        <v>298.0</v>
      </c>
      <c r="C65" s="4">
        <v>5.0</v>
      </c>
      <c r="D65" s="4">
        <v>22.7000007629</v>
      </c>
      <c r="E65" s="4">
        <v>0.2300000042</v>
      </c>
      <c r="F65" s="4">
        <v>28.0</v>
      </c>
      <c r="G65" s="4">
        <v>34.0</v>
      </c>
      <c r="H65" s="4">
        <v>21.0</v>
      </c>
      <c r="I65" s="4">
        <v>17.1000003815</v>
      </c>
      <c r="J65" s="4">
        <v>82.0</v>
      </c>
      <c r="K65" s="4">
        <v>2.9000000954</v>
      </c>
      <c r="L65" s="4">
        <v>3.1300001144</v>
      </c>
      <c r="M65" s="4">
        <v>0.0</v>
      </c>
      <c r="N65" s="4">
        <v>7.8000001907</v>
      </c>
      <c r="O65" s="4">
        <v>60.0</v>
      </c>
      <c r="P65" s="4">
        <v>2.0</v>
      </c>
      <c r="Q65" s="4">
        <v>6.0</v>
      </c>
      <c r="R65" s="4">
        <v>100.0</v>
      </c>
      <c r="S65" s="4">
        <v>2.7799999714</v>
      </c>
    </row>
    <row r="66">
      <c r="A66" s="3" t="s">
        <v>83</v>
      </c>
      <c r="L66" s="4">
        <v>5.7</v>
      </c>
      <c r="N66" s="4">
        <v>10.0</v>
      </c>
      <c r="R66" s="4">
        <v>48.0</v>
      </c>
    </row>
    <row r="67">
      <c r="A67" s="3" t="s">
        <v>84</v>
      </c>
      <c r="L67" s="4">
        <v>8.0</v>
      </c>
      <c r="N67" s="4">
        <v>45.0</v>
      </c>
      <c r="R67" s="4">
        <v>9.3</v>
      </c>
    </row>
    <row r="68">
      <c r="A68" s="3" t="s">
        <v>85</v>
      </c>
      <c r="B68" s="4">
        <v>699.0</v>
      </c>
      <c r="K68" s="4">
        <v>6.3</v>
      </c>
      <c r="L68" s="4">
        <v>6.0</v>
      </c>
      <c r="N68" s="4">
        <v>7.2</v>
      </c>
      <c r="R68" s="4">
        <v>22.0</v>
      </c>
    </row>
    <row r="69">
      <c r="A69" s="3" t="s">
        <v>86</v>
      </c>
    </row>
    <row r="70">
      <c r="A70" s="3" t="s">
        <v>87</v>
      </c>
      <c r="B70" s="4">
        <v>336.0</v>
      </c>
      <c r="K70" s="4">
        <v>6.7</v>
      </c>
      <c r="L70" s="4">
        <v>2.3</v>
      </c>
      <c r="N70" s="4">
        <v>7.2</v>
      </c>
      <c r="R70" s="4">
        <v>13.0</v>
      </c>
    </row>
    <row r="71">
      <c r="A71" s="3" t="s">
        <v>88</v>
      </c>
      <c r="B71" s="4">
        <v>963.0</v>
      </c>
      <c r="C71" s="4">
        <v>32.0</v>
      </c>
      <c r="D71" s="4">
        <v>36.0</v>
      </c>
      <c r="E71" s="4">
        <v>0.6</v>
      </c>
      <c r="F71" s="4">
        <v>27.0</v>
      </c>
      <c r="G71" s="4">
        <v>38.0</v>
      </c>
      <c r="H71" s="4">
        <v>42.0</v>
      </c>
      <c r="I71" s="4">
        <v>13.2</v>
      </c>
      <c r="J71" s="4">
        <v>71.0</v>
      </c>
      <c r="K71" s="4">
        <v>10.9</v>
      </c>
      <c r="L71" s="4">
        <v>7.79</v>
      </c>
      <c r="M71" s="4">
        <v>3.0</v>
      </c>
      <c r="N71" s="4">
        <v>13.5</v>
      </c>
      <c r="O71" s="4">
        <v>30.0</v>
      </c>
      <c r="P71" s="4">
        <v>8.0</v>
      </c>
      <c r="Q71" s="4">
        <v>42.0</v>
      </c>
      <c r="R71" s="4">
        <v>146.0</v>
      </c>
      <c r="S71" s="4">
        <v>5.06</v>
      </c>
    </row>
    <row r="72">
      <c r="A72" s="3" t="s">
        <v>89</v>
      </c>
      <c r="L72" s="4">
        <v>26.8</v>
      </c>
      <c r="N72" s="4">
        <v>10.1</v>
      </c>
      <c r="R72" s="4">
        <v>87.0</v>
      </c>
    </row>
    <row r="73">
      <c r="A73" s="3" t="s">
        <v>90</v>
      </c>
      <c r="M73" s="4">
        <v>4.0</v>
      </c>
      <c r="N73" s="4">
        <v>7.9</v>
      </c>
      <c r="O73" s="4">
        <v>2.0</v>
      </c>
      <c r="P73" s="4">
        <v>0.0</v>
      </c>
      <c r="Q73" s="4">
        <v>44.0</v>
      </c>
      <c r="R73" s="4">
        <v>1257.0</v>
      </c>
    </row>
    <row r="74">
      <c r="A74" s="3" t="s">
        <v>91</v>
      </c>
      <c r="B74" s="4">
        <v>654.0</v>
      </c>
      <c r="C74" s="4">
        <v>20.0</v>
      </c>
      <c r="D74" s="4">
        <v>31.7000007629</v>
      </c>
      <c r="E74" s="4">
        <v>0.6999999881</v>
      </c>
      <c r="F74" s="4">
        <v>32.0</v>
      </c>
      <c r="G74" s="4">
        <v>33.0</v>
      </c>
      <c r="H74" s="4">
        <v>31.0</v>
      </c>
      <c r="I74" s="4">
        <v>12.8999996185</v>
      </c>
      <c r="J74" s="4">
        <v>96.0</v>
      </c>
      <c r="K74" s="4">
        <v>5.1999998093</v>
      </c>
      <c r="L74" s="4">
        <v>29.1800003052</v>
      </c>
      <c r="M74" s="4">
        <v>0.0</v>
      </c>
      <c r="N74" s="4">
        <v>9.3000001907</v>
      </c>
      <c r="O74" s="4">
        <v>8.0</v>
      </c>
      <c r="P74" s="4">
        <v>0.0</v>
      </c>
      <c r="Q74" s="4">
        <v>3.0</v>
      </c>
      <c r="R74" s="4">
        <v>12.0</v>
      </c>
      <c r="S74" s="4">
        <v>3.2999999523</v>
      </c>
    </row>
    <row r="75">
      <c r="A75" s="3" t="s">
        <v>92</v>
      </c>
      <c r="B75" s="4">
        <v>349.0</v>
      </c>
      <c r="C75" s="4">
        <v>10.0</v>
      </c>
      <c r="D75" s="4">
        <v>23.3999996185</v>
      </c>
      <c r="E75" s="4">
        <v>0.3700000048</v>
      </c>
      <c r="F75" s="4">
        <v>28.0</v>
      </c>
      <c r="G75" s="4">
        <v>34.0</v>
      </c>
      <c r="H75" s="4">
        <v>21.0</v>
      </c>
      <c r="I75" s="4">
        <v>15.6000003815</v>
      </c>
      <c r="J75" s="4">
        <v>80.0</v>
      </c>
      <c r="K75" s="4">
        <v>1.3999999762</v>
      </c>
      <c r="L75" s="4">
        <v>2.7400000095</v>
      </c>
      <c r="M75" s="4">
        <v>3.0</v>
      </c>
      <c r="N75" s="4">
        <v>7.9000000954</v>
      </c>
      <c r="O75" s="4">
        <v>64.0</v>
      </c>
      <c r="P75" s="4">
        <v>2.0</v>
      </c>
      <c r="Q75" s="4">
        <v>19.0</v>
      </c>
      <c r="R75" s="4">
        <v>295.0</v>
      </c>
      <c r="S75" s="4">
        <v>2.8699998856</v>
      </c>
    </row>
    <row r="76">
      <c r="A76" s="3" t="s">
        <v>93</v>
      </c>
      <c r="B76" s="4">
        <v>1268.0</v>
      </c>
      <c r="C76" s="4">
        <v>37.0</v>
      </c>
      <c r="D76" s="4">
        <v>35.7999992371</v>
      </c>
      <c r="E76" s="4">
        <v>0.3100000024</v>
      </c>
      <c r="F76" s="4">
        <v>30.0</v>
      </c>
      <c r="G76" s="4">
        <v>37.0</v>
      </c>
      <c r="H76" s="4">
        <v>51.0</v>
      </c>
      <c r="I76" s="4">
        <v>14.1999998093</v>
      </c>
      <c r="J76" s="4">
        <v>82.0</v>
      </c>
      <c r="K76" s="4">
        <v>4.3000001907</v>
      </c>
      <c r="L76" s="4">
        <v>5.6300001144</v>
      </c>
      <c r="M76" s="4">
        <v>0.0</v>
      </c>
      <c r="N76" s="4">
        <v>13.1999998093</v>
      </c>
      <c r="O76" s="4">
        <v>66.0</v>
      </c>
      <c r="P76" s="4">
        <v>6.0</v>
      </c>
      <c r="Q76" s="4">
        <v>5.0</v>
      </c>
      <c r="R76" s="4">
        <v>135.0</v>
      </c>
      <c r="S76" s="4">
        <v>4.3699998856</v>
      </c>
    </row>
    <row r="77">
      <c r="A77" s="3" t="s">
        <v>94</v>
      </c>
      <c r="B77" s="4">
        <v>418.0</v>
      </c>
      <c r="C77" s="4">
        <v>7.0</v>
      </c>
      <c r="D77" s="4">
        <v>7.4000000954</v>
      </c>
      <c r="E77" s="4">
        <v>0.2099999934</v>
      </c>
      <c r="F77" s="4">
        <v>30.0</v>
      </c>
      <c r="G77" s="4">
        <v>32.0</v>
      </c>
      <c r="H77" s="4">
        <v>22.0</v>
      </c>
      <c r="I77" s="4">
        <v>18.0</v>
      </c>
      <c r="J77" s="4">
        <v>94.0</v>
      </c>
      <c r="K77" s="4">
        <v>3.7000000477</v>
      </c>
      <c r="L77" s="4">
        <v>12.5699996948</v>
      </c>
      <c r="M77" s="4">
        <v>1.0</v>
      </c>
      <c r="N77" s="4">
        <v>2.4000000954</v>
      </c>
      <c r="O77" s="4">
        <v>34.0</v>
      </c>
      <c r="P77" s="4">
        <v>0.0</v>
      </c>
      <c r="Q77" s="4">
        <v>0.0</v>
      </c>
      <c r="R77" s="4">
        <v>11.0</v>
      </c>
      <c r="S77" s="4">
        <v>0.7900000215</v>
      </c>
    </row>
    <row r="78">
      <c r="A78" s="3" t="s">
        <v>95</v>
      </c>
      <c r="B78" s="4">
        <v>372.0</v>
      </c>
      <c r="C78" s="4">
        <v>282.4</v>
      </c>
      <c r="D78" s="4">
        <v>32.9</v>
      </c>
      <c r="E78" s="4">
        <v>0.59</v>
      </c>
      <c r="F78" s="4">
        <v>29.0</v>
      </c>
      <c r="G78" s="4">
        <v>31.0</v>
      </c>
      <c r="H78" s="4">
        <v>27.3</v>
      </c>
      <c r="I78" s="4">
        <v>18.0</v>
      </c>
      <c r="J78" s="4">
        <v>86.4</v>
      </c>
      <c r="K78" s="4">
        <v>2.7</v>
      </c>
      <c r="L78" s="4">
        <v>2.7</v>
      </c>
      <c r="M78" s="4">
        <v>1.0</v>
      </c>
      <c r="N78" s="4">
        <v>10.1</v>
      </c>
      <c r="O78" s="4">
        <v>9.0</v>
      </c>
      <c r="P78" s="4">
        <v>4.0</v>
      </c>
      <c r="Q78" s="4">
        <v>6.0</v>
      </c>
      <c r="R78" s="4">
        <v>38.0</v>
      </c>
      <c r="S78" s="4">
        <v>3.53</v>
      </c>
    </row>
    <row r="79">
      <c r="A79" s="3" t="s">
        <v>96</v>
      </c>
      <c r="B79" s="4">
        <v>1367.0</v>
      </c>
      <c r="C79" s="4">
        <v>9.0</v>
      </c>
      <c r="D79" s="4">
        <v>31.2999992371</v>
      </c>
      <c r="E79" s="4">
        <v>0.5400000215</v>
      </c>
      <c r="F79" s="4">
        <v>27.0</v>
      </c>
      <c r="G79" s="4">
        <v>32.0</v>
      </c>
      <c r="H79" s="4">
        <v>32.0</v>
      </c>
      <c r="I79" s="4">
        <v>14.1000003815</v>
      </c>
      <c r="J79" s="4">
        <v>85.0</v>
      </c>
      <c r="K79" s="4">
        <v>6.8000001907</v>
      </c>
      <c r="L79" s="4">
        <v>64.5999984741</v>
      </c>
      <c r="M79" s="4">
        <v>0.0</v>
      </c>
      <c r="N79" s="4">
        <v>10.1000003815</v>
      </c>
      <c r="O79" s="4">
        <v>8.0</v>
      </c>
      <c r="P79" s="4">
        <v>0.0</v>
      </c>
      <c r="Q79" s="4">
        <v>12.0</v>
      </c>
      <c r="R79" s="4">
        <v>116.0</v>
      </c>
      <c r="S79" s="4">
        <v>3.6900000572</v>
      </c>
    </row>
    <row r="80">
      <c r="A80" s="3" t="s">
        <v>97</v>
      </c>
      <c r="B80" s="4">
        <v>1101.0</v>
      </c>
      <c r="C80" s="4">
        <v>21.0</v>
      </c>
      <c r="D80" s="4">
        <v>30.0</v>
      </c>
      <c r="E80" s="4">
        <v>0.74</v>
      </c>
      <c r="F80" s="4">
        <v>33.0</v>
      </c>
      <c r="G80" s="4">
        <v>32.0</v>
      </c>
      <c r="H80" s="4">
        <v>44.0</v>
      </c>
      <c r="I80" s="4">
        <v>18.1</v>
      </c>
      <c r="J80" s="4">
        <v>104.0</v>
      </c>
      <c r="K80" s="4">
        <v>6.4</v>
      </c>
      <c r="L80" s="4">
        <v>197.14</v>
      </c>
      <c r="M80" s="4">
        <v>1.0</v>
      </c>
      <c r="N80" s="4">
        <v>9.5</v>
      </c>
      <c r="O80" s="4">
        <v>5.0</v>
      </c>
      <c r="P80" s="4">
        <v>2.0</v>
      </c>
      <c r="Q80" s="4">
        <v>22.0</v>
      </c>
      <c r="R80" s="4">
        <v>1325.0</v>
      </c>
      <c r="S80" s="4">
        <v>2.89</v>
      </c>
    </row>
    <row r="81">
      <c r="A81" s="3" t="s">
        <v>98</v>
      </c>
      <c r="B81" s="4">
        <v>1199.0</v>
      </c>
      <c r="K81" s="4">
        <v>3.1</v>
      </c>
      <c r="L81" s="4">
        <v>1.8</v>
      </c>
      <c r="N81" s="4">
        <v>87.0</v>
      </c>
      <c r="R81" s="4">
        <v>184.0</v>
      </c>
    </row>
    <row r="82">
      <c r="A82" s="3" t="s">
        <v>99</v>
      </c>
      <c r="B82" s="4">
        <v>329.0</v>
      </c>
      <c r="K82" s="4">
        <v>6.9</v>
      </c>
      <c r="L82" s="4">
        <v>4.4</v>
      </c>
      <c r="N82" s="4">
        <v>8.9</v>
      </c>
      <c r="R82" s="4">
        <v>18.0</v>
      </c>
    </row>
    <row r="83">
      <c r="A83" s="3" t="s">
        <v>100</v>
      </c>
      <c r="B83" s="4">
        <v>447.0</v>
      </c>
      <c r="C83" s="4">
        <v>4.0</v>
      </c>
      <c r="D83" s="4">
        <v>20.7999992371</v>
      </c>
      <c r="E83" s="4">
        <v>0.4300000072</v>
      </c>
      <c r="F83" s="4">
        <v>32.0</v>
      </c>
      <c r="G83" s="4">
        <v>33.0</v>
      </c>
      <c r="H83" s="4">
        <v>18.0</v>
      </c>
      <c r="I83" s="4">
        <v>13.6000003815</v>
      </c>
      <c r="J83" s="4">
        <v>98.0</v>
      </c>
      <c r="K83" s="4">
        <v>2.0999999046</v>
      </c>
      <c r="L83" s="4">
        <v>23.0200004578</v>
      </c>
      <c r="M83" s="4">
        <v>4.0</v>
      </c>
      <c r="N83" s="4">
        <v>6.8000001907</v>
      </c>
      <c r="O83" s="4">
        <v>5.0</v>
      </c>
      <c r="P83" s="4">
        <v>3.0</v>
      </c>
      <c r="Q83" s="4">
        <v>4.0</v>
      </c>
      <c r="R83" s="4">
        <v>58.0</v>
      </c>
      <c r="S83" s="4">
        <v>2.1199998856</v>
      </c>
    </row>
    <row r="84">
      <c r="A84" s="3" t="s">
        <v>101</v>
      </c>
      <c r="D84" s="4">
        <v>47.0</v>
      </c>
      <c r="F84" s="4">
        <v>30.5</v>
      </c>
      <c r="G84" s="4">
        <v>33.8</v>
      </c>
      <c r="I84" s="4">
        <v>16.9</v>
      </c>
      <c r="J84" s="4">
        <v>90.0</v>
      </c>
      <c r="L84" s="4">
        <v>56.4</v>
      </c>
      <c r="M84" s="4">
        <v>4.0</v>
      </c>
      <c r="N84" s="4">
        <v>15.9</v>
      </c>
      <c r="O84" s="4">
        <v>2.0</v>
      </c>
      <c r="P84" s="4">
        <v>5.0</v>
      </c>
      <c r="Q84" s="4">
        <v>52.0</v>
      </c>
      <c r="R84" s="4">
        <v>497.0</v>
      </c>
      <c r="S84" s="4">
        <v>5.23</v>
      </c>
    </row>
    <row r="85">
      <c r="A85" s="3" t="s">
        <v>102</v>
      </c>
      <c r="B85" s="4">
        <v>887.0</v>
      </c>
      <c r="K85" s="4">
        <v>3.33</v>
      </c>
      <c r="L85" s="4">
        <v>2.43</v>
      </c>
      <c r="N85" s="4">
        <v>111.0</v>
      </c>
      <c r="R85" s="4">
        <v>124.0</v>
      </c>
    </row>
    <row r="86">
      <c r="A86" s="3" t="s">
        <v>103</v>
      </c>
      <c r="B86" s="4">
        <v>657.0</v>
      </c>
      <c r="C86" s="4">
        <v>44.0</v>
      </c>
      <c r="D86" s="4">
        <v>19.6000003815</v>
      </c>
      <c r="E86" s="4">
        <v>1.0700000525</v>
      </c>
      <c r="F86" s="4">
        <v>30.0</v>
      </c>
      <c r="G86" s="4">
        <v>36.0</v>
      </c>
      <c r="H86" s="4">
        <v>82.0</v>
      </c>
      <c r="I86" s="4">
        <v>14.5</v>
      </c>
      <c r="J86" s="4">
        <v>84.0</v>
      </c>
      <c r="K86" s="4">
        <v>6.0999999046</v>
      </c>
      <c r="L86" s="4">
        <v>3.3099999428</v>
      </c>
      <c r="M86" s="4">
        <v>0.0</v>
      </c>
      <c r="N86" s="4">
        <v>7.0999999046</v>
      </c>
      <c r="O86" s="4">
        <v>44.0</v>
      </c>
      <c r="P86" s="4">
        <v>0.0</v>
      </c>
      <c r="Q86" s="4">
        <v>26.0</v>
      </c>
      <c r="R86" s="4">
        <v>26.0</v>
      </c>
      <c r="S86" s="4">
        <v>2.3399999142</v>
      </c>
    </row>
    <row r="87">
      <c r="A87" s="3" t="s">
        <v>104</v>
      </c>
      <c r="B87" s="4">
        <v>362.0</v>
      </c>
      <c r="K87" s="4">
        <v>4.5</v>
      </c>
      <c r="L87" s="4">
        <v>4.19</v>
      </c>
      <c r="N87" s="4">
        <v>8.9</v>
      </c>
      <c r="R87" s="4">
        <v>130.0</v>
      </c>
    </row>
    <row r="88">
      <c r="A88" s="3" t="s">
        <v>105</v>
      </c>
      <c r="L88" s="4">
        <v>6.48</v>
      </c>
      <c r="N88" s="4">
        <v>7.5</v>
      </c>
      <c r="R88" s="4">
        <v>24.0</v>
      </c>
    </row>
    <row r="89">
      <c r="A89" s="3" t="s">
        <v>106</v>
      </c>
      <c r="B89" s="4">
        <v>571.0</v>
      </c>
      <c r="K89" s="4">
        <v>5.8</v>
      </c>
      <c r="L89" s="4">
        <v>52.9</v>
      </c>
      <c r="N89" s="4">
        <v>10.6</v>
      </c>
      <c r="R89" s="4">
        <v>52.0</v>
      </c>
    </row>
    <row r="90">
      <c r="A90" s="3" t="s">
        <v>107</v>
      </c>
      <c r="B90" s="4">
        <v>795.0</v>
      </c>
      <c r="C90" s="4">
        <v>20.0</v>
      </c>
      <c r="D90" s="4">
        <v>33.2000007629</v>
      </c>
      <c r="E90" s="4">
        <v>1.1900000572</v>
      </c>
      <c r="F90" s="4">
        <v>32.0</v>
      </c>
      <c r="G90" s="4">
        <v>32.0</v>
      </c>
      <c r="H90" s="4">
        <v>35.0</v>
      </c>
      <c r="I90" s="4">
        <v>19.2999992371</v>
      </c>
      <c r="J90" s="4">
        <v>102.0</v>
      </c>
      <c r="K90" s="4">
        <v>11.8999996185</v>
      </c>
      <c r="L90" s="4">
        <v>21.9200000763</v>
      </c>
      <c r="M90" s="4">
        <v>1.0</v>
      </c>
      <c r="N90" s="4">
        <v>9.3999996185</v>
      </c>
      <c r="O90" s="4">
        <v>5.0</v>
      </c>
      <c r="P90" s="4">
        <v>2.0</v>
      </c>
      <c r="Q90" s="4">
        <v>7.0</v>
      </c>
      <c r="R90" s="4">
        <v>34.0</v>
      </c>
      <c r="S90" s="4">
        <v>3.2599999905</v>
      </c>
    </row>
    <row r="91">
      <c r="A91" s="3" t="s">
        <v>108</v>
      </c>
      <c r="B91" s="4">
        <v>375.0</v>
      </c>
      <c r="C91" s="4">
        <v>12.0</v>
      </c>
      <c r="D91" s="4">
        <v>21.6000003815</v>
      </c>
      <c r="E91" s="4">
        <v>0.3300000131</v>
      </c>
      <c r="F91" s="4">
        <v>28.0</v>
      </c>
      <c r="G91" s="4">
        <v>35.0</v>
      </c>
      <c r="H91" s="4">
        <v>28.0</v>
      </c>
      <c r="I91" s="4">
        <v>16.5</v>
      </c>
      <c r="J91" s="4">
        <v>80.0</v>
      </c>
      <c r="K91" s="4">
        <v>6.0</v>
      </c>
      <c r="L91" s="4">
        <v>2.0099999905</v>
      </c>
      <c r="M91" s="4">
        <v>0.0</v>
      </c>
      <c r="N91" s="4">
        <v>7.1999998093</v>
      </c>
      <c r="O91" s="4">
        <v>54.0</v>
      </c>
      <c r="P91" s="4">
        <v>2.0</v>
      </c>
      <c r="Q91" s="4">
        <v>7.0</v>
      </c>
      <c r="R91" s="4">
        <v>48.0</v>
      </c>
      <c r="S91" s="4">
        <v>2.7000000477</v>
      </c>
    </row>
    <row r="92">
      <c r="A92" s="3" t="s">
        <v>109</v>
      </c>
      <c r="B92" s="4">
        <v>1301.0</v>
      </c>
      <c r="C92" s="4">
        <v>51.0</v>
      </c>
      <c r="D92" s="4">
        <v>35.7999992371</v>
      </c>
      <c r="E92" s="4">
        <v>1.0399999619</v>
      </c>
      <c r="F92" s="4">
        <v>29.0</v>
      </c>
      <c r="G92" s="4">
        <v>36.0</v>
      </c>
      <c r="H92" s="4">
        <v>43.0</v>
      </c>
      <c r="I92" s="4">
        <v>14.3000001907</v>
      </c>
      <c r="J92" s="4">
        <v>82.0</v>
      </c>
      <c r="K92" s="4">
        <v>13.1000003815</v>
      </c>
      <c r="L92" s="4">
        <v>66.2699966431</v>
      </c>
      <c r="M92" s="4">
        <v>1.0</v>
      </c>
      <c r="N92" s="4">
        <v>12.8999996185</v>
      </c>
      <c r="O92" s="4">
        <v>5.0</v>
      </c>
      <c r="P92" s="4">
        <v>1.0</v>
      </c>
      <c r="Q92" s="4">
        <v>3.0</v>
      </c>
      <c r="R92" s="4">
        <v>12.0</v>
      </c>
      <c r="S92" s="4">
        <v>4.3899998665</v>
      </c>
    </row>
    <row r="93">
      <c r="A93" s="3" t="s">
        <v>110</v>
      </c>
      <c r="B93" s="4">
        <v>211.0</v>
      </c>
      <c r="K93" s="4">
        <v>4.43</v>
      </c>
      <c r="L93" s="4">
        <v>3.2</v>
      </c>
      <c r="N93" s="4">
        <v>37.0</v>
      </c>
      <c r="R93" s="4">
        <v>178.0</v>
      </c>
    </row>
    <row r="94">
      <c r="A94" s="3" t="s">
        <v>111</v>
      </c>
      <c r="L94" s="4">
        <v>48.55</v>
      </c>
      <c r="N94" s="4">
        <v>8.2</v>
      </c>
      <c r="R94" s="4">
        <v>354.0</v>
      </c>
    </row>
    <row r="95">
      <c r="A95" s="3" t="s">
        <v>112</v>
      </c>
      <c r="B95" s="4">
        <v>1148.0</v>
      </c>
      <c r="K95" s="4">
        <v>7.9</v>
      </c>
      <c r="L95" s="4">
        <v>19.91</v>
      </c>
      <c r="N95" s="4">
        <v>11.6</v>
      </c>
      <c r="R95" s="4">
        <v>125.0</v>
      </c>
    </row>
    <row r="96">
      <c r="A96" s="3" t="s">
        <v>113</v>
      </c>
      <c r="M96" s="4">
        <v>15.0</v>
      </c>
      <c r="O96" s="4">
        <v>2.0</v>
      </c>
      <c r="P96" s="4">
        <v>0.0</v>
      </c>
      <c r="Q96" s="4">
        <v>30.0</v>
      </c>
    </row>
    <row r="97">
      <c r="A97" s="3" t="s">
        <v>114</v>
      </c>
      <c r="L97" s="4">
        <v>6.26</v>
      </c>
      <c r="N97" s="4">
        <v>9.1</v>
      </c>
      <c r="R97" s="4">
        <v>94.0</v>
      </c>
    </row>
    <row r="98">
      <c r="A98" s="3" t="s">
        <v>115</v>
      </c>
      <c r="C98" s="4">
        <v>14.0</v>
      </c>
      <c r="D98" s="4">
        <v>23.9</v>
      </c>
      <c r="E98" s="4">
        <v>0.57</v>
      </c>
      <c r="F98" s="4">
        <v>31.6</v>
      </c>
      <c r="G98" s="4">
        <v>35.0</v>
      </c>
      <c r="H98" s="4">
        <v>34.0</v>
      </c>
      <c r="J98" s="4">
        <v>91.2</v>
      </c>
      <c r="L98" s="4">
        <v>196.0</v>
      </c>
      <c r="M98" s="4">
        <v>2.0</v>
      </c>
      <c r="N98" s="4">
        <v>7.7</v>
      </c>
      <c r="O98" s="4">
        <v>3.0</v>
      </c>
      <c r="P98" s="4">
        <v>2.0</v>
      </c>
      <c r="Q98" s="4">
        <v>44.0</v>
      </c>
      <c r="R98" s="4">
        <v>346.0</v>
      </c>
      <c r="S98" s="4">
        <v>2.62</v>
      </c>
    </row>
    <row r="99">
      <c r="A99" s="3" t="s">
        <v>116</v>
      </c>
      <c r="B99" s="4">
        <v>721.0</v>
      </c>
      <c r="C99" s="4">
        <v>17.0</v>
      </c>
      <c r="D99" s="4">
        <v>24.0</v>
      </c>
      <c r="E99" s="4">
        <v>0.3</v>
      </c>
      <c r="F99" s="4">
        <v>27.8</v>
      </c>
      <c r="G99" s="4">
        <v>32.5</v>
      </c>
      <c r="H99" s="4">
        <v>49.0</v>
      </c>
      <c r="I99" s="4">
        <v>17.7</v>
      </c>
      <c r="J99" s="4">
        <v>85.4</v>
      </c>
      <c r="K99" s="4">
        <v>10.2</v>
      </c>
      <c r="L99" s="4">
        <v>172.4</v>
      </c>
      <c r="M99" s="4">
        <v>2.0</v>
      </c>
      <c r="N99" s="4">
        <v>7.8</v>
      </c>
      <c r="O99" s="4">
        <v>13.0</v>
      </c>
      <c r="P99" s="4">
        <v>7.0</v>
      </c>
      <c r="Q99" s="4">
        <v>36.0</v>
      </c>
      <c r="R99" s="4">
        <v>324.0</v>
      </c>
      <c r="S99" s="4">
        <v>2.81</v>
      </c>
    </row>
    <row r="100">
      <c r="A100" s="3" t="s">
        <v>117</v>
      </c>
      <c r="B100" s="4">
        <v>498.0</v>
      </c>
      <c r="C100" s="4">
        <v>21.0</v>
      </c>
      <c r="D100" s="4">
        <v>27.7999992371</v>
      </c>
      <c r="E100" s="4">
        <v>0.6299999952</v>
      </c>
      <c r="F100" s="4">
        <v>31.0</v>
      </c>
      <c r="G100" s="4">
        <v>37.0</v>
      </c>
      <c r="H100" s="4">
        <v>27.0</v>
      </c>
      <c r="I100" s="4">
        <v>15.6999998093</v>
      </c>
      <c r="J100" s="4">
        <v>84.0</v>
      </c>
      <c r="K100" s="4">
        <v>4.8000001907</v>
      </c>
      <c r="L100" s="4">
        <v>26.9799995422</v>
      </c>
      <c r="M100" s="4">
        <v>1.0</v>
      </c>
      <c r="N100" s="4">
        <v>9.1999998093</v>
      </c>
      <c r="O100" s="4">
        <v>12.0</v>
      </c>
      <c r="P100" s="4">
        <v>1.0</v>
      </c>
      <c r="Q100" s="4">
        <v>3.0</v>
      </c>
      <c r="R100" s="4">
        <v>15.0</v>
      </c>
      <c r="S100" s="4">
        <v>3.3099999428</v>
      </c>
    </row>
    <row r="101">
      <c r="A101" s="3" t="s">
        <v>118</v>
      </c>
      <c r="B101" s="4">
        <v>978.0</v>
      </c>
      <c r="C101" s="4">
        <v>13.0</v>
      </c>
      <c r="D101" s="4">
        <v>29.5</v>
      </c>
      <c r="E101" s="4">
        <v>0.8600000143</v>
      </c>
      <c r="F101" s="4">
        <v>35.0</v>
      </c>
      <c r="G101" s="4">
        <v>36.0</v>
      </c>
      <c r="H101" s="4">
        <v>34.0</v>
      </c>
      <c r="I101" s="4">
        <v>16.5</v>
      </c>
      <c r="J101" s="4">
        <v>96.0</v>
      </c>
      <c r="K101" s="4">
        <v>0.0</v>
      </c>
      <c r="L101" s="4">
        <v>67.9300003052</v>
      </c>
      <c r="M101" s="4">
        <v>1.0</v>
      </c>
      <c r="N101" s="4">
        <v>10.6000003815</v>
      </c>
      <c r="O101" s="4">
        <v>9.0</v>
      </c>
      <c r="P101" s="4">
        <v>1.0</v>
      </c>
      <c r="Q101" s="4">
        <v>15.0</v>
      </c>
      <c r="R101" s="4">
        <v>78.0</v>
      </c>
      <c r="S101" s="4">
        <v>3.0599999428</v>
      </c>
    </row>
    <row r="102">
      <c r="A102" s="3" t="s">
        <v>119</v>
      </c>
      <c r="B102" s="4">
        <v>1026.0</v>
      </c>
      <c r="C102" s="4">
        <v>19.0</v>
      </c>
      <c r="D102" s="4">
        <v>28.7000007629</v>
      </c>
      <c r="E102" s="4">
        <v>0.2300000042</v>
      </c>
      <c r="F102" s="4">
        <v>28.0</v>
      </c>
      <c r="G102" s="4">
        <v>34.0</v>
      </c>
      <c r="H102" s="4">
        <v>70.0</v>
      </c>
      <c r="I102" s="4">
        <v>13.5</v>
      </c>
      <c r="J102" s="4">
        <v>81.0</v>
      </c>
      <c r="K102" s="4">
        <v>3.9000000954</v>
      </c>
      <c r="L102" s="4">
        <v>10.1199998856</v>
      </c>
      <c r="M102" s="4">
        <v>0.0</v>
      </c>
      <c r="N102" s="4">
        <v>9.6999998093</v>
      </c>
      <c r="O102" s="4">
        <v>10.0</v>
      </c>
      <c r="P102" s="4">
        <v>4.0</v>
      </c>
      <c r="Q102" s="4">
        <v>5.0</v>
      </c>
      <c r="R102" s="4">
        <v>75.0</v>
      </c>
      <c r="S102" s="4">
        <v>3.5299999714</v>
      </c>
    </row>
    <row r="103">
      <c r="A103" s="3" t="s">
        <v>120</v>
      </c>
      <c r="L103" s="4">
        <v>225.2</v>
      </c>
      <c r="N103" s="4">
        <v>9.3</v>
      </c>
      <c r="R103" s="4">
        <v>699.0</v>
      </c>
      <c r="S103" s="4">
        <v>3.3</v>
      </c>
    </row>
    <row r="104">
      <c r="A104" s="3" t="s">
        <v>121</v>
      </c>
      <c r="B104" s="4">
        <v>204.0</v>
      </c>
      <c r="C104" s="4">
        <v>7.0</v>
      </c>
      <c r="D104" s="4">
        <v>12.0</v>
      </c>
      <c r="E104" s="4">
        <v>0.2700000107</v>
      </c>
      <c r="F104" s="4">
        <v>28.0</v>
      </c>
      <c r="G104" s="4">
        <v>35.0</v>
      </c>
      <c r="H104" s="4">
        <v>16.0</v>
      </c>
      <c r="I104" s="4">
        <v>16.5</v>
      </c>
      <c r="J104" s="4">
        <v>79.0</v>
      </c>
      <c r="K104" s="4">
        <v>2.5</v>
      </c>
      <c r="L104" s="4">
        <v>3.9700000286</v>
      </c>
      <c r="M104" s="4">
        <v>0.0</v>
      </c>
      <c r="N104" s="4">
        <v>4.1999998093</v>
      </c>
      <c r="O104" s="4">
        <v>40.0</v>
      </c>
      <c r="P104" s="4">
        <v>0.0</v>
      </c>
      <c r="Q104" s="4">
        <v>0.0</v>
      </c>
      <c r="R104" s="4">
        <v>203.0</v>
      </c>
      <c r="S104" s="4">
        <v>1.5199999809</v>
      </c>
    </row>
    <row r="105">
      <c r="A105" s="3" t="s">
        <v>122</v>
      </c>
      <c r="B105" s="4">
        <v>2857.0</v>
      </c>
      <c r="C105" s="4">
        <v>50.0</v>
      </c>
      <c r="D105" s="4">
        <v>36.4000015259</v>
      </c>
      <c r="E105" s="4">
        <v>0.8399999738</v>
      </c>
      <c r="F105" s="4">
        <v>30.0</v>
      </c>
      <c r="G105" s="4">
        <v>36.0</v>
      </c>
      <c r="H105" s="4">
        <v>101.0</v>
      </c>
      <c r="I105" s="4">
        <v>14.8999996185</v>
      </c>
      <c r="J105" s="4">
        <v>83.0</v>
      </c>
      <c r="K105" s="4">
        <v>11.5</v>
      </c>
      <c r="L105" s="4">
        <v>116.0</v>
      </c>
      <c r="M105" s="4">
        <v>2.0</v>
      </c>
      <c r="N105" s="4">
        <v>13.1000003815</v>
      </c>
      <c r="O105" s="4">
        <v>1.0</v>
      </c>
      <c r="P105" s="4">
        <v>1.0</v>
      </c>
      <c r="Q105" s="4">
        <v>2.0</v>
      </c>
      <c r="R105" s="4">
        <v>21.0</v>
      </c>
      <c r="S105" s="4">
        <v>4.4000000954</v>
      </c>
    </row>
    <row r="106">
      <c r="A106" s="3" t="s">
        <v>123</v>
      </c>
      <c r="B106" s="4">
        <v>270.0</v>
      </c>
      <c r="C106" s="4">
        <v>10.0</v>
      </c>
      <c r="D106" s="4">
        <v>26.7000007629</v>
      </c>
      <c r="E106" s="4">
        <v>0.2700000107</v>
      </c>
      <c r="F106" s="4">
        <v>25.0</v>
      </c>
      <c r="G106" s="4">
        <v>36.0</v>
      </c>
      <c r="H106" s="4">
        <v>33.0</v>
      </c>
      <c r="I106" s="4">
        <v>18.2000007629</v>
      </c>
      <c r="J106" s="4">
        <v>71.0</v>
      </c>
      <c r="K106" s="4">
        <v>4.1999998093</v>
      </c>
      <c r="L106" s="4">
        <v>2.1600000858</v>
      </c>
      <c r="M106" s="4">
        <v>0.0</v>
      </c>
      <c r="N106" s="4">
        <v>7.8000001907</v>
      </c>
      <c r="O106" s="4">
        <v>72.0</v>
      </c>
      <c r="P106" s="4">
        <v>11.0</v>
      </c>
      <c r="Q106" s="4">
        <v>10.0</v>
      </c>
      <c r="R106" s="4">
        <v>148.0</v>
      </c>
      <c r="S106" s="4">
        <v>3.25</v>
      </c>
    </row>
    <row r="107">
      <c r="A107" s="3" t="s">
        <v>124</v>
      </c>
      <c r="L107" s="4">
        <v>44.36</v>
      </c>
      <c r="N107" s="4">
        <v>10.0</v>
      </c>
      <c r="R107" s="4">
        <v>252.0</v>
      </c>
    </row>
    <row r="108">
      <c r="A108" s="3" t="s">
        <v>125</v>
      </c>
      <c r="B108" s="4">
        <v>1154.0</v>
      </c>
      <c r="K108" s="4">
        <v>3.9</v>
      </c>
      <c r="L108" s="4">
        <v>9.77</v>
      </c>
      <c r="N108" s="4">
        <v>9.2</v>
      </c>
      <c r="R108" s="4">
        <v>194.0</v>
      </c>
    </row>
    <row r="109">
      <c r="A109" s="3" t="s">
        <v>126</v>
      </c>
      <c r="D109" s="4">
        <v>34.0</v>
      </c>
      <c r="E109" s="4">
        <v>0.76</v>
      </c>
      <c r="F109" s="4">
        <v>30.0</v>
      </c>
      <c r="G109" s="4">
        <v>34.0</v>
      </c>
      <c r="H109" s="4">
        <v>27.0</v>
      </c>
      <c r="I109" s="4">
        <v>15.7</v>
      </c>
      <c r="J109" s="4">
        <v>90.0</v>
      </c>
      <c r="K109" s="4">
        <v>3.4</v>
      </c>
      <c r="L109" s="4">
        <v>133.3</v>
      </c>
      <c r="M109" s="4">
        <v>7.0</v>
      </c>
      <c r="N109" s="4">
        <v>11.2</v>
      </c>
      <c r="O109" s="4">
        <v>5.0</v>
      </c>
      <c r="P109" s="4">
        <v>2.0</v>
      </c>
      <c r="R109" s="4">
        <v>422.0</v>
      </c>
      <c r="S109" s="4">
        <v>3.82</v>
      </c>
    </row>
    <row r="110">
      <c r="A110" s="3" t="s">
        <v>127</v>
      </c>
      <c r="L110" s="4">
        <v>11.9</v>
      </c>
      <c r="N110" s="4">
        <v>7.9</v>
      </c>
      <c r="R110" s="4">
        <v>160.0</v>
      </c>
    </row>
    <row r="111">
      <c r="A111" s="3" t="s">
        <v>128</v>
      </c>
      <c r="B111" s="4">
        <v>939.6</v>
      </c>
      <c r="L111" s="4">
        <v>3.616</v>
      </c>
      <c r="M111" s="4">
        <v>15.0</v>
      </c>
      <c r="N111" s="4">
        <v>6.6</v>
      </c>
      <c r="O111" s="4">
        <v>14.0</v>
      </c>
      <c r="P111" s="4">
        <v>4.0</v>
      </c>
      <c r="Q111" s="4">
        <v>32.0</v>
      </c>
      <c r="R111" s="4">
        <v>73.0</v>
      </c>
    </row>
    <row r="112">
      <c r="A112" s="3" t="s">
        <v>129</v>
      </c>
      <c r="B112" s="4">
        <v>2121.0</v>
      </c>
      <c r="C112" s="4">
        <v>14.0</v>
      </c>
      <c r="D112" s="4">
        <v>38.6</v>
      </c>
      <c r="E112" s="4">
        <v>0.65</v>
      </c>
      <c r="F112" s="4">
        <v>27.0</v>
      </c>
      <c r="G112" s="4">
        <v>34.0</v>
      </c>
      <c r="H112" s="4">
        <v>69.0</v>
      </c>
      <c r="I112" s="4">
        <v>13.0</v>
      </c>
      <c r="J112" s="4">
        <v>79.0</v>
      </c>
      <c r="K112" s="4">
        <v>15.8</v>
      </c>
      <c r="L112" s="4">
        <v>5.12</v>
      </c>
      <c r="M112" s="4">
        <v>0.0</v>
      </c>
      <c r="N112" s="4">
        <v>13.1</v>
      </c>
      <c r="O112" s="4">
        <v>30.0</v>
      </c>
      <c r="P112" s="4">
        <v>21.0</v>
      </c>
      <c r="Q112" s="4">
        <v>33.0</v>
      </c>
      <c r="R112" s="4">
        <v>121.0</v>
      </c>
      <c r="S112" s="4">
        <v>4.89</v>
      </c>
    </row>
    <row r="113">
      <c r="A113" s="3" t="s">
        <v>130</v>
      </c>
      <c r="B113" s="4">
        <v>367.0</v>
      </c>
      <c r="C113" s="4">
        <v>19.0</v>
      </c>
      <c r="D113" s="4">
        <v>36.0</v>
      </c>
      <c r="F113" s="4">
        <v>28.0</v>
      </c>
      <c r="G113" s="4">
        <v>29.0</v>
      </c>
      <c r="H113" s="4">
        <v>30.0</v>
      </c>
      <c r="I113" s="4">
        <v>18.1</v>
      </c>
      <c r="J113" s="4">
        <v>97.0</v>
      </c>
      <c r="L113" s="4">
        <v>94.7</v>
      </c>
      <c r="M113" s="4">
        <v>2.0</v>
      </c>
      <c r="N113" s="4">
        <v>10.4</v>
      </c>
      <c r="O113" s="4">
        <v>8.0</v>
      </c>
      <c r="P113" s="4">
        <v>2.0</v>
      </c>
      <c r="Q113" s="4">
        <v>47.0</v>
      </c>
      <c r="R113" s="4">
        <v>1294.0</v>
      </c>
      <c r="S113" s="4">
        <v>3.74</v>
      </c>
    </row>
    <row r="114">
      <c r="A114" s="3" t="s">
        <v>131</v>
      </c>
      <c r="B114" s="4">
        <v>351.0</v>
      </c>
      <c r="C114" s="4">
        <v>10.0</v>
      </c>
      <c r="D114" s="4">
        <v>18.7999992371</v>
      </c>
      <c r="E114" s="4">
        <v>0.2800000012</v>
      </c>
      <c r="F114" s="4">
        <v>29.0</v>
      </c>
      <c r="G114" s="4">
        <v>33.0</v>
      </c>
      <c r="H114" s="4">
        <v>30.0</v>
      </c>
      <c r="I114" s="4">
        <v>15.3000001907</v>
      </c>
      <c r="J114" s="4">
        <v>89.0</v>
      </c>
      <c r="K114" s="4">
        <v>3.0999999046</v>
      </c>
      <c r="L114" s="4">
        <v>15.1899995804</v>
      </c>
      <c r="M114" s="4">
        <v>0.0</v>
      </c>
      <c r="N114" s="4">
        <v>5.5999999046</v>
      </c>
      <c r="O114" s="4">
        <v>45.0</v>
      </c>
      <c r="P114" s="4">
        <v>4.0</v>
      </c>
      <c r="Q114" s="4">
        <v>12.0</v>
      </c>
      <c r="R114" s="4">
        <v>292.0</v>
      </c>
      <c r="S114" s="4">
        <v>2.0899999142</v>
      </c>
    </row>
    <row r="115">
      <c r="A115" s="3" t="s">
        <v>132</v>
      </c>
      <c r="B115" s="4">
        <v>834.0</v>
      </c>
      <c r="C115" s="4">
        <v>37.0</v>
      </c>
      <c r="D115" s="4">
        <v>22.1000003815</v>
      </c>
      <c r="E115" s="4">
        <v>0.5899999738</v>
      </c>
      <c r="F115" s="4">
        <v>27.0</v>
      </c>
      <c r="G115" s="4">
        <v>34.0</v>
      </c>
      <c r="H115" s="4">
        <v>42.0</v>
      </c>
      <c r="I115" s="4">
        <v>15.1000003815</v>
      </c>
      <c r="J115" s="4">
        <v>78.0</v>
      </c>
      <c r="K115" s="4">
        <v>5.5999999046</v>
      </c>
      <c r="L115" s="4">
        <v>3.2799999714</v>
      </c>
      <c r="M115" s="4">
        <v>0.0</v>
      </c>
      <c r="N115" s="4">
        <v>7.5999999046</v>
      </c>
      <c r="O115" s="4">
        <v>48.0</v>
      </c>
      <c r="P115" s="4">
        <v>1.0</v>
      </c>
      <c r="Q115" s="4">
        <v>2.0</v>
      </c>
      <c r="R115" s="4">
        <v>17.0</v>
      </c>
      <c r="S115" s="4">
        <v>2.8299999237</v>
      </c>
    </row>
    <row r="116">
      <c r="A116" s="3" t="s">
        <v>133</v>
      </c>
      <c r="L116" s="4">
        <v>19.4</v>
      </c>
      <c r="N116" s="4">
        <v>8.9</v>
      </c>
      <c r="R116" s="4">
        <v>44.0</v>
      </c>
    </row>
    <row r="117">
      <c r="A117" s="3" t="s">
        <v>134</v>
      </c>
      <c r="B117" s="4">
        <v>907.0</v>
      </c>
      <c r="K117" s="4">
        <v>6.1</v>
      </c>
      <c r="L117" s="4">
        <v>16.13</v>
      </c>
      <c r="N117" s="4">
        <v>7.0</v>
      </c>
      <c r="R117" s="4">
        <v>65.0</v>
      </c>
    </row>
    <row r="118">
      <c r="A118" s="3" t="s">
        <v>135</v>
      </c>
      <c r="B118" s="4">
        <v>4269.0</v>
      </c>
      <c r="C118" s="4">
        <v>26.0</v>
      </c>
      <c r="D118" s="4">
        <v>39.0</v>
      </c>
      <c r="E118" s="4">
        <v>0.4499999881</v>
      </c>
      <c r="F118" s="4">
        <v>24.0</v>
      </c>
      <c r="G118" s="4">
        <v>32.0</v>
      </c>
      <c r="H118" s="4">
        <v>106.0</v>
      </c>
      <c r="I118" s="4">
        <v>14.1999998093</v>
      </c>
      <c r="J118" s="4">
        <v>73.0</v>
      </c>
      <c r="K118" s="4">
        <v>6.0</v>
      </c>
      <c r="L118" s="4">
        <v>36.6699981689</v>
      </c>
      <c r="M118" s="4">
        <v>2.0</v>
      </c>
      <c r="N118" s="4">
        <v>11.3999996185</v>
      </c>
      <c r="O118" s="4">
        <v>20.0</v>
      </c>
      <c r="P118" s="4">
        <v>3.0</v>
      </c>
      <c r="Q118" s="4">
        <v>19.0</v>
      </c>
      <c r="R118" s="4">
        <v>109.0</v>
      </c>
      <c r="S118" s="4">
        <v>5.3400001526</v>
      </c>
    </row>
    <row r="119">
      <c r="A119" s="3" t="s">
        <v>136</v>
      </c>
      <c r="B119" s="4">
        <v>488.0</v>
      </c>
      <c r="C119" s="4">
        <v>16.0</v>
      </c>
      <c r="D119" s="4">
        <v>29.5</v>
      </c>
      <c r="E119" s="4">
        <v>0.5500000119</v>
      </c>
      <c r="F119" s="4">
        <v>27.0</v>
      </c>
      <c r="G119" s="4">
        <v>34.0</v>
      </c>
      <c r="H119" s="4">
        <v>24.0</v>
      </c>
      <c r="I119" s="4">
        <v>15.6999998093</v>
      </c>
      <c r="J119" s="4">
        <v>81.0</v>
      </c>
      <c r="K119" s="4">
        <v>6.3000001907</v>
      </c>
      <c r="L119" s="4">
        <v>28.2600002289</v>
      </c>
      <c r="M119" s="4">
        <v>2.0</v>
      </c>
      <c r="N119" s="4">
        <v>10.0</v>
      </c>
      <c r="O119" s="4">
        <v>6.0</v>
      </c>
      <c r="P119" s="4">
        <v>0.0</v>
      </c>
      <c r="Q119" s="4">
        <v>18.0</v>
      </c>
      <c r="R119" s="4">
        <v>133.0</v>
      </c>
      <c r="S119" s="4">
        <v>3.6500000954</v>
      </c>
    </row>
    <row r="120">
      <c r="A120" s="3" t="s">
        <v>137</v>
      </c>
      <c r="L120" s="4">
        <v>85.37</v>
      </c>
      <c r="N120" s="4">
        <v>6.5</v>
      </c>
      <c r="R120" s="4">
        <v>49.0</v>
      </c>
    </row>
    <row r="121">
      <c r="A121" s="3" t="s">
        <v>138</v>
      </c>
      <c r="B121" s="4">
        <v>341.0</v>
      </c>
      <c r="C121" s="4">
        <v>123.0</v>
      </c>
      <c r="D121" s="4">
        <v>21.3999996185</v>
      </c>
      <c r="E121" s="4">
        <v>0.5400000215</v>
      </c>
      <c r="F121" s="4">
        <v>30.0</v>
      </c>
      <c r="G121" s="4">
        <v>34.0</v>
      </c>
      <c r="H121" s="4">
        <v>27.0</v>
      </c>
      <c r="I121" s="4">
        <v>20.0</v>
      </c>
      <c r="J121" s="4">
        <v>101.0</v>
      </c>
      <c r="K121" s="4">
        <v>4.5</v>
      </c>
      <c r="L121" s="4">
        <v>3.1099998951</v>
      </c>
      <c r="M121" s="4">
        <v>4.0</v>
      </c>
      <c r="N121" s="4">
        <v>6.4000000954</v>
      </c>
      <c r="O121" s="4">
        <v>45.0</v>
      </c>
      <c r="P121" s="4">
        <v>6.0</v>
      </c>
      <c r="Q121" s="4">
        <v>3.0</v>
      </c>
      <c r="R121" s="4">
        <v>48.0</v>
      </c>
      <c r="S121" s="4">
        <v>2.1099998951</v>
      </c>
    </row>
    <row r="122">
      <c r="A122" s="3" t="s">
        <v>139</v>
      </c>
      <c r="B122" s="4">
        <v>987.0</v>
      </c>
      <c r="K122" s="4">
        <v>3.1</v>
      </c>
      <c r="L122" s="4">
        <v>3.1</v>
      </c>
      <c r="N122" s="4">
        <v>7.6</v>
      </c>
      <c r="R122" s="4">
        <v>45.0</v>
      </c>
    </row>
    <row r="123">
      <c r="A123" s="3" t="s">
        <v>140</v>
      </c>
      <c r="B123" s="4">
        <v>478.0</v>
      </c>
      <c r="K123" s="4">
        <v>3.9</v>
      </c>
      <c r="L123" s="4">
        <v>5.9</v>
      </c>
      <c r="N123" s="4">
        <v>10.9</v>
      </c>
      <c r="R123" s="4">
        <v>21.0</v>
      </c>
    </row>
    <row r="124">
      <c r="A124" s="3" t="s">
        <v>141</v>
      </c>
      <c r="L124" s="4">
        <v>50.39</v>
      </c>
      <c r="N124" s="4">
        <v>29.0</v>
      </c>
      <c r="R124" s="4">
        <v>6.3</v>
      </c>
    </row>
    <row r="125">
      <c r="A125" s="3" t="s">
        <v>142</v>
      </c>
      <c r="B125" s="4">
        <v>369.0</v>
      </c>
      <c r="C125" s="4">
        <v>17.0</v>
      </c>
      <c r="D125" s="4">
        <v>30.2000007629</v>
      </c>
      <c r="E125" s="4">
        <v>1.0599999428</v>
      </c>
      <c r="F125" s="4">
        <v>32.0</v>
      </c>
      <c r="G125" s="4">
        <v>34.0</v>
      </c>
      <c r="H125" s="4">
        <v>19.0</v>
      </c>
      <c r="I125" s="4">
        <v>15.8999996185</v>
      </c>
      <c r="J125" s="4">
        <v>95.0</v>
      </c>
      <c r="K125" s="4">
        <v>6.8000001907</v>
      </c>
      <c r="L125" s="4">
        <v>113.5299987793</v>
      </c>
      <c r="M125" s="4">
        <v>0.0</v>
      </c>
      <c r="N125" s="4">
        <v>10.1999998093</v>
      </c>
      <c r="O125" s="4">
        <v>3.0</v>
      </c>
      <c r="P125" s="4">
        <v>1.0</v>
      </c>
      <c r="Q125" s="4">
        <v>2.0</v>
      </c>
      <c r="R125" s="4">
        <v>11.0</v>
      </c>
      <c r="S125" s="4">
        <v>3.1900000572</v>
      </c>
    </row>
    <row r="126">
      <c r="A126" s="3" t="s">
        <v>143</v>
      </c>
      <c r="B126" s="4">
        <v>656.0</v>
      </c>
      <c r="C126" s="4">
        <v>11.0</v>
      </c>
      <c r="D126" s="4">
        <v>29.1000003815</v>
      </c>
      <c r="E126" s="4">
        <v>0.200000003</v>
      </c>
      <c r="F126" s="4">
        <v>23.0</v>
      </c>
      <c r="G126" s="4">
        <v>26.0</v>
      </c>
      <c r="H126" s="4">
        <v>25.0</v>
      </c>
      <c r="I126" s="4">
        <v>19.5</v>
      </c>
      <c r="J126" s="4">
        <v>87.0</v>
      </c>
      <c r="K126" s="4">
        <v>3.9000000954</v>
      </c>
      <c r="L126" s="4">
        <v>683.3099975586</v>
      </c>
      <c r="M126" s="4">
        <v>1.0</v>
      </c>
      <c r="N126" s="4">
        <v>7.5</v>
      </c>
      <c r="O126" s="4">
        <v>9.0</v>
      </c>
      <c r="P126" s="4">
        <v>0.0</v>
      </c>
      <c r="Q126" s="4">
        <v>1.0</v>
      </c>
      <c r="R126" s="4">
        <v>57.0</v>
      </c>
      <c r="S126" s="4">
        <v>3.3299999237</v>
      </c>
    </row>
    <row r="127">
      <c r="A127" s="3" t="s">
        <v>144</v>
      </c>
      <c r="B127" s="4">
        <v>631.0</v>
      </c>
      <c r="C127" s="4">
        <v>21.0</v>
      </c>
      <c r="D127" s="4">
        <v>12.8999996185</v>
      </c>
      <c r="E127" s="4">
        <v>0.2800000012</v>
      </c>
      <c r="F127" s="4">
        <v>28.0</v>
      </c>
      <c r="G127" s="4">
        <v>33.0</v>
      </c>
      <c r="H127" s="4">
        <v>69.0</v>
      </c>
      <c r="I127" s="4">
        <v>24.0</v>
      </c>
      <c r="J127" s="4">
        <v>85.0</v>
      </c>
      <c r="K127" s="4">
        <v>4.3000001907</v>
      </c>
      <c r="L127" s="4">
        <v>4.4499998093</v>
      </c>
      <c r="M127" s="4">
        <v>0.0</v>
      </c>
      <c r="N127" s="4">
        <v>4.1999998093</v>
      </c>
      <c r="O127" s="4">
        <v>55.0</v>
      </c>
      <c r="P127" s="4">
        <v>3.0</v>
      </c>
      <c r="Q127" s="4">
        <v>3.0</v>
      </c>
      <c r="R127" s="4">
        <v>11.0</v>
      </c>
      <c r="S127" s="4">
        <v>1.5099999905</v>
      </c>
    </row>
    <row r="128">
      <c r="A128" s="3" t="s">
        <v>145</v>
      </c>
      <c r="B128" s="4">
        <v>979.0</v>
      </c>
      <c r="C128" s="4">
        <v>14.0</v>
      </c>
      <c r="D128" s="4">
        <v>17.7999992371</v>
      </c>
      <c r="E128" s="4">
        <v>0.3600000143</v>
      </c>
      <c r="F128" s="4">
        <v>26.0</v>
      </c>
      <c r="G128" s="4">
        <v>34.0</v>
      </c>
      <c r="H128" s="4">
        <v>59.0</v>
      </c>
      <c r="I128" s="4">
        <v>18.8999996185</v>
      </c>
      <c r="J128" s="4">
        <v>78.0</v>
      </c>
      <c r="K128" s="4">
        <v>3.5999999046</v>
      </c>
      <c r="L128" s="4">
        <v>41.2599983215</v>
      </c>
      <c r="M128" s="4">
        <v>1.0</v>
      </c>
      <c r="N128" s="4">
        <v>6.0999999046</v>
      </c>
      <c r="O128" s="4">
        <v>12.0</v>
      </c>
      <c r="P128" s="4">
        <v>0.0</v>
      </c>
      <c r="Q128" s="4">
        <v>1.0</v>
      </c>
      <c r="R128" s="4">
        <v>17.0</v>
      </c>
      <c r="S128" s="4">
        <v>2.2899999619</v>
      </c>
    </row>
    <row r="129">
      <c r="A129" s="3" t="s">
        <v>146</v>
      </c>
      <c r="B129" s="4">
        <v>480.0</v>
      </c>
      <c r="K129" s="4">
        <v>2.0</v>
      </c>
      <c r="L129" s="4">
        <v>7.24</v>
      </c>
      <c r="N129" s="4">
        <v>8.3</v>
      </c>
      <c r="R129" s="4">
        <v>58.0</v>
      </c>
    </row>
    <row r="130">
      <c r="A130" s="3" t="s">
        <v>147</v>
      </c>
      <c r="B130" s="4">
        <v>492.0</v>
      </c>
      <c r="K130" s="4">
        <v>2.6</v>
      </c>
      <c r="L130" s="4">
        <v>5.42</v>
      </c>
      <c r="N130" s="4">
        <v>8.3</v>
      </c>
      <c r="R130" s="4">
        <v>49.0</v>
      </c>
    </row>
    <row r="131">
      <c r="A131" s="3" t="s">
        <v>148</v>
      </c>
      <c r="L131" s="4">
        <v>17.91</v>
      </c>
      <c r="N131" s="4">
        <v>9.4</v>
      </c>
      <c r="R131" s="4">
        <v>24.0</v>
      </c>
    </row>
    <row r="132">
      <c r="A132" s="3" t="s">
        <v>149</v>
      </c>
      <c r="B132" s="4">
        <v>890.0</v>
      </c>
      <c r="C132" s="4">
        <v>29.0</v>
      </c>
      <c r="D132" s="4">
        <v>42.0</v>
      </c>
      <c r="E132" s="4">
        <v>6.25</v>
      </c>
      <c r="F132" s="4">
        <v>28.0</v>
      </c>
      <c r="G132" s="4">
        <v>32.0</v>
      </c>
      <c r="H132" s="4">
        <v>50.0</v>
      </c>
      <c r="I132" s="4">
        <v>14.0</v>
      </c>
      <c r="J132" s="4">
        <v>88.0</v>
      </c>
      <c r="K132" s="4">
        <v>36.2999992371</v>
      </c>
      <c r="L132" s="4">
        <v>84.3199996948</v>
      </c>
      <c r="M132" s="4">
        <v>0.0</v>
      </c>
      <c r="N132" s="4">
        <v>13.5</v>
      </c>
      <c r="O132" s="4">
        <v>8.0</v>
      </c>
      <c r="P132" s="4">
        <v>1.0</v>
      </c>
      <c r="Q132" s="4">
        <v>2.0</v>
      </c>
      <c r="R132" s="4">
        <v>52.0</v>
      </c>
      <c r="S132" s="4">
        <v>4.75</v>
      </c>
    </row>
    <row r="133">
      <c r="A133" s="3" t="s">
        <v>150</v>
      </c>
      <c r="B133" s="4">
        <v>1441.0</v>
      </c>
      <c r="K133" s="4">
        <v>12.2</v>
      </c>
      <c r="L133" s="4">
        <v>12.69</v>
      </c>
      <c r="N133" s="4">
        <v>11.7</v>
      </c>
      <c r="R133" s="4">
        <v>198.0</v>
      </c>
    </row>
    <row r="134">
      <c r="A134" s="3" t="s">
        <v>151</v>
      </c>
      <c r="B134" s="4">
        <v>1206.0</v>
      </c>
      <c r="K134" s="4">
        <v>15.5</v>
      </c>
      <c r="L134" s="4">
        <v>37.4</v>
      </c>
      <c r="N134" s="4">
        <v>14.5</v>
      </c>
      <c r="R134" s="4">
        <v>174.0</v>
      </c>
    </row>
    <row r="135">
      <c r="A135" s="3" t="s">
        <v>152</v>
      </c>
      <c r="B135" s="4">
        <v>255.0</v>
      </c>
      <c r="K135" s="4">
        <v>4.1</v>
      </c>
      <c r="L135" s="4">
        <v>1.4</v>
      </c>
      <c r="N135" s="4">
        <v>5.4</v>
      </c>
      <c r="R135" s="4">
        <v>28.0</v>
      </c>
    </row>
    <row r="136">
      <c r="A136" s="3" t="s">
        <v>153</v>
      </c>
      <c r="B136" s="4">
        <v>1046.0</v>
      </c>
      <c r="C136" s="4">
        <v>44.0</v>
      </c>
      <c r="D136" s="4">
        <v>31.6</v>
      </c>
      <c r="E136" s="4">
        <v>0.95</v>
      </c>
      <c r="F136" s="4">
        <v>31.9</v>
      </c>
      <c r="G136" s="4">
        <v>33.2</v>
      </c>
      <c r="H136" s="4">
        <v>49.0</v>
      </c>
      <c r="I136" s="4">
        <v>17.3</v>
      </c>
      <c r="J136" s="4">
        <v>96.0</v>
      </c>
      <c r="K136" s="4">
        <v>8.5</v>
      </c>
      <c r="L136" s="4">
        <v>185.73</v>
      </c>
      <c r="M136" s="4">
        <v>2.6</v>
      </c>
      <c r="N136" s="4">
        <v>10.5</v>
      </c>
      <c r="O136" s="4">
        <v>5.6</v>
      </c>
      <c r="P136" s="4">
        <v>2.0</v>
      </c>
      <c r="Q136" s="4">
        <v>38.0</v>
      </c>
      <c r="R136" s="4">
        <v>393.0</v>
      </c>
      <c r="S136" s="4">
        <v>3.3</v>
      </c>
    </row>
    <row r="137">
      <c r="A137" s="3" t="s">
        <v>154</v>
      </c>
      <c r="B137" s="4">
        <v>481.0</v>
      </c>
      <c r="C137" s="4">
        <v>7.0</v>
      </c>
      <c r="D137" s="4">
        <v>28.6</v>
      </c>
      <c r="E137" s="4">
        <v>0.6</v>
      </c>
      <c r="F137" s="4">
        <v>24.1</v>
      </c>
      <c r="G137" s="4">
        <v>31.8</v>
      </c>
      <c r="H137" s="4">
        <v>27.0</v>
      </c>
      <c r="I137" s="4">
        <v>17.3</v>
      </c>
      <c r="J137" s="4">
        <v>75.7</v>
      </c>
      <c r="K137" s="4">
        <v>6.1</v>
      </c>
      <c r="L137" s="4">
        <v>144.49</v>
      </c>
      <c r="M137" s="4">
        <v>1.0</v>
      </c>
      <c r="N137" s="4">
        <v>9.1</v>
      </c>
      <c r="O137" s="4">
        <v>4.0</v>
      </c>
      <c r="P137" s="4">
        <v>1.0</v>
      </c>
      <c r="Q137" s="4">
        <v>43.0</v>
      </c>
      <c r="R137" s="4">
        <v>816.0</v>
      </c>
      <c r="S137" s="4">
        <v>3.8</v>
      </c>
    </row>
    <row r="138">
      <c r="A138" s="3" t="s">
        <v>155</v>
      </c>
      <c r="L138" s="4">
        <v>36.26</v>
      </c>
      <c r="N138" s="4">
        <v>8.7</v>
      </c>
      <c r="R138" s="4">
        <v>50.0</v>
      </c>
    </row>
    <row r="139">
      <c r="A139" s="3" t="s">
        <v>156</v>
      </c>
      <c r="B139" s="4">
        <v>2350.0</v>
      </c>
      <c r="D139" s="4">
        <v>19.5</v>
      </c>
      <c r="F139" s="4">
        <v>28.0</v>
      </c>
      <c r="G139" s="4">
        <v>29.0</v>
      </c>
      <c r="I139" s="4">
        <v>21.6</v>
      </c>
      <c r="J139" s="4">
        <v>99.0</v>
      </c>
      <c r="L139" s="4">
        <v>4.66</v>
      </c>
      <c r="M139" s="4">
        <v>1.0</v>
      </c>
      <c r="N139" s="4">
        <v>5.9</v>
      </c>
      <c r="O139" s="4">
        <v>3.0</v>
      </c>
      <c r="P139" s="4">
        <v>0.0</v>
      </c>
      <c r="Q139" s="4">
        <v>49.0</v>
      </c>
      <c r="R139" s="4">
        <v>33.0</v>
      </c>
      <c r="S139" s="4">
        <v>1.0</v>
      </c>
    </row>
    <row r="140">
      <c r="A140" s="3" t="s">
        <v>157</v>
      </c>
      <c r="L140" s="4">
        <v>27.1</v>
      </c>
      <c r="N140" s="4">
        <v>11.8</v>
      </c>
      <c r="R140" s="4">
        <v>32.0</v>
      </c>
    </row>
    <row r="141">
      <c r="A141" s="3" t="s">
        <v>158</v>
      </c>
      <c r="B141" s="4">
        <v>281.0</v>
      </c>
      <c r="C141" s="4">
        <v>67.0</v>
      </c>
      <c r="D141" s="4">
        <v>26.2000007629</v>
      </c>
      <c r="E141" s="4">
        <v>0.7400000095</v>
      </c>
      <c r="F141" s="4">
        <v>31.0</v>
      </c>
      <c r="G141" s="4">
        <v>36.0</v>
      </c>
      <c r="H141" s="4">
        <v>47.0</v>
      </c>
      <c r="I141" s="4">
        <v>15.5</v>
      </c>
      <c r="J141" s="4">
        <v>87.0</v>
      </c>
      <c r="K141" s="4">
        <v>7.1999998093</v>
      </c>
      <c r="L141" s="4">
        <v>3.1099998951</v>
      </c>
      <c r="M141" s="4">
        <v>0.0</v>
      </c>
      <c r="N141" s="4">
        <v>9.3000001907</v>
      </c>
      <c r="O141" s="4">
        <v>72.0</v>
      </c>
      <c r="P141" s="4">
        <v>0.0</v>
      </c>
      <c r="Q141" s="4">
        <v>11.0</v>
      </c>
      <c r="R141" s="4">
        <v>60.0</v>
      </c>
      <c r="S141" s="4">
        <v>3.0</v>
      </c>
    </row>
    <row r="142">
      <c r="A142" s="3" t="s">
        <v>159</v>
      </c>
      <c r="B142" s="4">
        <v>360.0</v>
      </c>
      <c r="C142" s="4">
        <v>65.0</v>
      </c>
      <c r="D142" s="4">
        <v>25.2000007629</v>
      </c>
      <c r="E142" s="4">
        <v>0.349999994</v>
      </c>
      <c r="F142" s="4">
        <v>27.0</v>
      </c>
      <c r="G142" s="4">
        <v>33.0</v>
      </c>
      <c r="H142" s="4">
        <v>48.0</v>
      </c>
      <c r="I142" s="4">
        <v>14.1999998093</v>
      </c>
      <c r="J142" s="4">
        <v>83.0</v>
      </c>
      <c r="K142" s="4">
        <v>3.9000000954</v>
      </c>
      <c r="L142" s="4">
        <v>3.0199999809</v>
      </c>
      <c r="M142" s="4">
        <v>0.0</v>
      </c>
      <c r="N142" s="4">
        <v>8.1999998093</v>
      </c>
      <c r="O142" s="4">
        <v>41.0</v>
      </c>
      <c r="P142" s="4">
        <v>1.0</v>
      </c>
      <c r="Q142" s="4">
        <v>3.0</v>
      </c>
      <c r="R142" s="4">
        <v>2.0</v>
      </c>
      <c r="S142" s="4">
        <v>3.0299999714</v>
      </c>
    </row>
    <row r="143">
      <c r="A143" s="3" t="s">
        <v>160</v>
      </c>
      <c r="B143" s="4">
        <v>1883.0</v>
      </c>
      <c r="K143" s="4">
        <v>5.95</v>
      </c>
      <c r="L143" s="4">
        <v>6.7</v>
      </c>
      <c r="N143" s="4">
        <v>78.0</v>
      </c>
      <c r="R143" s="4">
        <v>58.0</v>
      </c>
    </row>
    <row r="144">
      <c r="A144" s="3" t="s">
        <v>161</v>
      </c>
      <c r="B144" s="4" t="s">
        <v>162</v>
      </c>
      <c r="K144" s="4">
        <v>37.0</v>
      </c>
      <c r="L144" s="4">
        <v>83.18</v>
      </c>
      <c r="N144" s="4">
        <v>85.0</v>
      </c>
      <c r="R144" s="4">
        <v>32.0</v>
      </c>
    </row>
    <row r="145">
      <c r="A145" s="3" t="s">
        <v>163</v>
      </c>
      <c r="B145" s="4">
        <v>360.0</v>
      </c>
      <c r="K145" s="4">
        <v>1.2</v>
      </c>
      <c r="L145" s="4">
        <v>6.76</v>
      </c>
      <c r="N145" s="4">
        <v>7.6</v>
      </c>
      <c r="R145" s="4">
        <v>66.0</v>
      </c>
    </row>
    <row r="146">
      <c r="A146" s="3" t="s">
        <v>164</v>
      </c>
      <c r="B146" s="4">
        <v>649.0</v>
      </c>
      <c r="C146" s="4">
        <v>22.0</v>
      </c>
      <c r="D146" s="4">
        <v>28.6000003815</v>
      </c>
      <c r="E146" s="4">
        <v>0.25</v>
      </c>
      <c r="F146" s="4">
        <v>23.0</v>
      </c>
      <c r="G146" s="4">
        <v>30.0</v>
      </c>
      <c r="H146" s="4">
        <v>49.0</v>
      </c>
      <c r="I146" s="4">
        <v>24.7999992371</v>
      </c>
      <c r="J146" s="4">
        <v>78.0</v>
      </c>
      <c r="K146" s="4">
        <v>3.0</v>
      </c>
      <c r="L146" s="4">
        <v>15.75</v>
      </c>
      <c r="M146" s="4">
        <v>0.0</v>
      </c>
      <c r="N146" s="4">
        <v>8.6000003815</v>
      </c>
      <c r="O146" s="4">
        <v>49.0</v>
      </c>
      <c r="P146" s="4">
        <v>0.0</v>
      </c>
      <c r="Q146" s="4">
        <v>10.0</v>
      </c>
      <c r="R146" s="4">
        <v>139.0</v>
      </c>
      <c r="S146" s="4">
        <v>3.6900000572</v>
      </c>
    </row>
    <row r="147">
      <c r="A147" s="3" t="s">
        <v>165</v>
      </c>
      <c r="L147" s="4">
        <v>6.6</v>
      </c>
      <c r="N147" s="4">
        <v>7.3</v>
      </c>
      <c r="R147" s="4">
        <v>13.0</v>
      </c>
    </row>
    <row r="148">
      <c r="A148" s="3" t="s">
        <v>166</v>
      </c>
      <c r="B148" s="4">
        <v>315.0</v>
      </c>
      <c r="C148" s="4">
        <v>12.0</v>
      </c>
      <c r="D148" s="4">
        <v>29.2999992371</v>
      </c>
      <c r="E148" s="4">
        <v>0.2899999917</v>
      </c>
      <c r="F148" s="4">
        <v>29.0</v>
      </c>
      <c r="G148" s="4">
        <v>33.0</v>
      </c>
      <c r="H148" s="4">
        <v>32.0</v>
      </c>
      <c r="I148" s="4">
        <v>16.7999992371</v>
      </c>
      <c r="J148" s="4">
        <v>87.0</v>
      </c>
      <c r="K148" s="4">
        <v>5.0</v>
      </c>
      <c r="L148" s="4">
        <v>6.5300002098</v>
      </c>
      <c r="M148" s="4">
        <v>0.0</v>
      </c>
      <c r="N148" s="4">
        <v>9.6000003815</v>
      </c>
      <c r="O148" s="4">
        <v>42.0</v>
      </c>
      <c r="P148" s="4">
        <v>0.0</v>
      </c>
      <c r="Q148" s="4">
        <v>1.0</v>
      </c>
      <c r="R148" s="4">
        <v>75.0</v>
      </c>
      <c r="S148" s="4">
        <v>3.2999999523</v>
      </c>
    </row>
    <row r="149">
      <c r="A149" s="3" t="s">
        <v>167</v>
      </c>
      <c r="B149" s="4">
        <v>408.0</v>
      </c>
      <c r="C149" s="4">
        <v>21.0</v>
      </c>
      <c r="D149" s="4">
        <v>39.4</v>
      </c>
      <c r="E149" s="4">
        <v>0.55</v>
      </c>
      <c r="F149" s="4">
        <v>29.0</v>
      </c>
      <c r="G149" s="4">
        <v>35.0</v>
      </c>
      <c r="H149" s="4">
        <v>29.0</v>
      </c>
      <c r="I149" s="4">
        <v>14.8</v>
      </c>
      <c r="J149" s="4">
        <v>83.3</v>
      </c>
      <c r="L149" s="4">
        <v>23.8</v>
      </c>
      <c r="M149" s="4">
        <v>4.0</v>
      </c>
      <c r="N149" s="4">
        <v>13.7</v>
      </c>
      <c r="O149" s="4">
        <v>9.0</v>
      </c>
      <c r="P149" s="4">
        <v>4.0</v>
      </c>
      <c r="Q149" s="4">
        <v>64.0</v>
      </c>
      <c r="R149" s="4">
        <v>280.0</v>
      </c>
      <c r="S149" s="4">
        <v>4.73</v>
      </c>
    </row>
    <row r="150">
      <c r="A150" s="3" t="s">
        <v>168</v>
      </c>
      <c r="B150" s="4">
        <v>410.0</v>
      </c>
      <c r="C150" s="4">
        <v>176.0</v>
      </c>
      <c r="D150" s="4">
        <v>17.5</v>
      </c>
      <c r="E150" s="4">
        <v>0.42</v>
      </c>
      <c r="F150" s="4">
        <v>28.0</v>
      </c>
      <c r="G150" s="4">
        <v>33.0</v>
      </c>
      <c r="H150" s="4">
        <v>154.0</v>
      </c>
      <c r="I150" s="4">
        <v>22.6</v>
      </c>
      <c r="J150" s="4">
        <v>84.0</v>
      </c>
      <c r="K150" s="4">
        <v>4.6</v>
      </c>
      <c r="L150" s="4">
        <v>14.34</v>
      </c>
      <c r="M150" s="4">
        <v>0.0</v>
      </c>
      <c r="N150" s="4">
        <v>5.8</v>
      </c>
      <c r="O150" s="4">
        <v>77.0</v>
      </c>
      <c r="P150" s="4">
        <v>0.0</v>
      </c>
      <c r="Q150" s="4">
        <v>0.0</v>
      </c>
      <c r="R150" s="4">
        <v>14.0</v>
      </c>
      <c r="S150" s="4">
        <v>2.08</v>
      </c>
    </row>
    <row r="151">
      <c r="A151" s="3" t="s">
        <v>169</v>
      </c>
      <c r="B151" s="4">
        <v>903.0</v>
      </c>
      <c r="K151" s="4">
        <v>7.2</v>
      </c>
      <c r="L151" s="4">
        <v>4.41</v>
      </c>
      <c r="N151" s="4">
        <v>11.8</v>
      </c>
      <c r="R151" s="4">
        <v>79.0</v>
      </c>
    </row>
    <row r="152">
      <c r="A152" s="3" t="s">
        <v>170</v>
      </c>
      <c r="L152" s="4">
        <v>1.3</v>
      </c>
      <c r="N152" s="4">
        <v>5.6</v>
      </c>
      <c r="R152" s="4">
        <v>95.0</v>
      </c>
    </row>
    <row r="153">
      <c r="A153" s="3" t="s">
        <v>171</v>
      </c>
      <c r="B153" s="4">
        <v>357.0</v>
      </c>
      <c r="C153" s="4">
        <v>20.0</v>
      </c>
      <c r="D153" s="4">
        <v>18.5</v>
      </c>
      <c r="E153" s="4">
        <v>1.1799999475</v>
      </c>
      <c r="F153" s="4">
        <v>33.0</v>
      </c>
      <c r="G153" s="4">
        <v>32.0</v>
      </c>
      <c r="H153" s="4">
        <v>30.0</v>
      </c>
      <c r="I153" s="4">
        <v>21.7000007629</v>
      </c>
      <c r="J153" s="4">
        <v>102.0</v>
      </c>
      <c r="K153" s="4">
        <v>8.3999996185</v>
      </c>
      <c r="L153" s="4">
        <v>7.8499999046</v>
      </c>
      <c r="M153" s="4">
        <v>0.0</v>
      </c>
      <c r="N153" s="4">
        <v>5.9000000954</v>
      </c>
      <c r="O153" s="4">
        <v>26.0</v>
      </c>
      <c r="P153" s="4">
        <v>50.0</v>
      </c>
      <c r="Q153" s="4">
        <v>3.0</v>
      </c>
      <c r="R153" s="4">
        <v>105.0</v>
      </c>
      <c r="S153" s="4">
        <v>1.8099999428</v>
      </c>
    </row>
    <row r="154">
      <c r="A154" s="3" t="s">
        <v>172</v>
      </c>
    </row>
    <row r="155">
      <c r="A155" s="3" t="s">
        <v>173</v>
      </c>
      <c r="L155" s="4">
        <v>1.89</v>
      </c>
      <c r="N155" s="4">
        <v>10.7</v>
      </c>
      <c r="R155" s="4">
        <v>44.0</v>
      </c>
    </row>
    <row r="156">
      <c r="A156" s="3" t="s">
        <v>174</v>
      </c>
      <c r="B156" s="4">
        <v>539.0</v>
      </c>
      <c r="C156" s="4">
        <v>14.0</v>
      </c>
      <c r="D156" s="4">
        <v>22.7000007629</v>
      </c>
      <c r="E156" s="4">
        <v>0.3799999952</v>
      </c>
      <c r="F156" s="4">
        <v>26.0</v>
      </c>
      <c r="G156" s="4">
        <v>34.0</v>
      </c>
      <c r="H156" s="4">
        <v>44.0</v>
      </c>
      <c r="I156" s="4">
        <v>14.3999996185</v>
      </c>
      <c r="J156" s="4">
        <v>77.0</v>
      </c>
      <c r="K156" s="4">
        <v>2.7000000477</v>
      </c>
      <c r="L156" s="4">
        <v>1.3600000143</v>
      </c>
      <c r="M156" s="4">
        <v>0.0</v>
      </c>
      <c r="N156" s="4">
        <v>7.8000001907</v>
      </c>
      <c r="O156" s="4">
        <v>52.0</v>
      </c>
      <c r="P156" s="4">
        <v>4.0</v>
      </c>
      <c r="Q156" s="4">
        <v>22.0</v>
      </c>
      <c r="R156" s="4">
        <v>155.0</v>
      </c>
      <c r="S156" s="4">
        <v>2.9600000381</v>
      </c>
    </row>
    <row r="157">
      <c r="A157" s="3" t="s">
        <v>175</v>
      </c>
      <c r="B157" s="4">
        <v>969.0</v>
      </c>
      <c r="C157" s="4">
        <v>9.0</v>
      </c>
      <c r="D157" s="4">
        <v>24.2999992371</v>
      </c>
      <c r="E157" s="4">
        <v>0.6499999762</v>
      </c>
      <c r="F157" s="4">
        <v>34.0</v>
      </c>
      <c r="G157" s="4">
        <v>35.0</v>
      </c>
      <c r="H157" s="4">
        <v>34.0</v>
      </c>
      <c r="I157" s="4">
        <v>14.1000003815</v>
      </c>
      <c r="J157" s="4">
        <v>98.0</v>
      </c>
      <c r="K157" s="4">
        <v>3.0999999046</v>
      </c>
      <c r="L157" s="4">
        <v>16.75</v>
      </c>
      <c r="M157" s="4">
        <v>1.0</v>
      </c>
      <c r="N157" s="4">
        <v>8.5</v>
      </c>
      <c r="O157" s="4">
        <v>11.0</v>
      </c>
      <c r="P157" s="4">
        <v>2.0</v>
      </c>
      <c r="Q157" s="4">
        <v>12.0</v>
      </c>
      <c r="R157" s="4">
        <v>36.0</v>
      </c>
      <c r="S157" s="4">
        <v>2.2999999523</v>
      </c>
    </row>
    <row r="158">
      <c r="A158" s="3" t="s">
        <v>176</v>
      </c>
      <c r="B158" s="4">
        <v>1055.0</v>
      </c>
      <c r="C158" s="4">
        <v>24.0</v>
      </c>
      <c r="D158" s="4">
        <v>26.2000007629</v>
      </c>
      <c r="E158" s="4">
        <v>0.4499999881</v>
      </c>
      <c r="F158" s="4">
        <v>32.0</v>
      </c>
      <c r="G158" s="4">
        <v>35.0</v>
      </c>
      <c r="H158" s="4">
        <v>37.0</v>
      </c>
      <c r="I158" s="4">
        <v>15.1999998093</v>
      </c>
      <c r="J158" s="4">
        <v>89.0</v>
      </c>
      <c r="K158" s="4">
        <v>2.0</v>
      </c>
      <c r="L158" s="4">
        <v>63.3499984741</v>
      </c>
      <c r="M158" s="4">
        <v>0.0</v>
      </c>
      <c r="N158" s="4">
        <v>8.0</v>
      </c>
      <c r="O158" s="4">
        <v>3.0</v>
      </c>
      <c r="P158" s="4">
        <v>1.0</v>
      </c>
      <c r="Q158" s="4">
        <v>1.0</v>
      </c>
      <c r="R158" s="4">
        <v>45.0</v>
      </c>
      <c r="S158" s="4">
        <v>2.3299999237</v>
      </c>
    </row>
    <row r="159">
      <c r="A159" s="3" t="s">
        <v>177</v>
      </c>
      <c r="D159" s="4">
        <v>21.6</v>
      </c>
      <c r="F159" s="4">
        <v>29.4</v>
      </c>
      <c r="G159" s="4">
        <v>36.3</v>
      </c>
      <c r="J159" s="4">
        <v>81.0</v>
      </c>
      <c r="L159" s="4">
        <v>193.8</v>
      </c>
      <c r="M159" s="4">
        <v>2.0</v>
      </c>
      <c r="N159" s="4">
        <v>7.8</v>
      </c>
      <c r="O159" s="4">
        <v>4.0</v>
      </c>
      <c r="P159" s="4">
        <v>3.0</v>
      </c>
      <c r="Q159" s="4">
        <v>43.5</v>
      </c>
      <c r="R159" s="4">
        <v>343.0</v>
      </c>
      <c r="S159" s="4">
        <v>2.66</v>
      </c>
    </row>
    <row r="160">
      <c r="A160" s="3" t="s">
        <v>178</v>
      </c>
      <c r="B160" s="4">
        <v>792.0</v>
      </c>
      <c r="C160" s="4">
        <v>14.0</v>
      </c>
      <c r="D160" s="4">
        <v>25.6000003815</v>
      </c>
      <c r="E160" s="4">
        <v>0.2700000107</v>
      </c>
      <c r="F160" s="4">
        <v>21.0</v>
      </c>
      <c r="G160" s="4">
        <v>31.0</v>
      </c>
      <c r="H160" s="4">
        <v>84.0</v>
      </c>
      <c r="I160" s="4">
        <v>17.2999992371</v>
      </c>
      <c r="J160" s="4">
        <v>67.0</v>
      </c>
      <c r="K160" s="4">
        <v>6.3000001907</v>
      </c>
      <c r="L160" s="4">
        <v>250.9299926758</v>
      </c>
      <c r="M160" s="4">
        <v>1.0</v>
      </c>
      <c r="N160" s="4">
        <v>7.9000000954</v>
      </c>
      <c r="O160" s="4">
        <v>8.0</v>
      </c>
      <c r="P160" s="4">
        <v>1.0</v>
      </c>
      <c r="Q160" s="4">
        <v>3.0</v>
      </c>
      <c r="R160" s="4">
        <v>302.0</v>
      </c>
      <c r="S160" s="4">
        <v>3.8499999046</v>
      </c>
    </row>
    <row r="161">
      <c r="A161" s="3" t="s">
        <v>179</v>
      </c>
      <c r="B161" s="4">
        <v>1040.0</v>
      </c>
      <c r="C161" s="4" t="s">
        <v>180</v>
      </c>
      <c r="D161" s="4">
        <v>19.7999992371</v>
      </c>
      <c r="E161" s="4">
        <v>0.2099999934</v>
      </c>
      <c r="F161" s="4">
        <v>31.0</v>
      </c>
      <c r="G161" s="4">
        <v>37.0</v>
      </c>
      <c r="H161" s="4">
        <v>9.0</v>
      </c>
      <c r="I161" s="4">
        <v>16.7000007629</v>
      </c>
      <c r="J161" s="4">
        <v>83.0</v>
      </c>
      <c r="K161" s="4">
        <v>5.4000000954</v>
      </c>
      <c r="L161" s="4">
        <v>4.4299998283</v>
      </c>
      <c r="M161" s="4">
        <v>0.0</v>
      </c>
      <c r="N161" s="4">
        <v>7.3000001907</v>
      </c>
      <c r="O161" s="4">
        <v>16.0</v>
      </c>
      <c r="P161" s="4">
        <v>3.0</v>
      </c>
      <c r="Q161" s="4">
        <v>4.0</v>
      </c>
      <c r="R161" s="4">
        <v>47.0</v>
      </c>
      <c r="S161" s="4">
        <v>2.3900001049</v>
      </c>
    </row>
    <row r="162">
      <c r="A162" s="3" t="s">
        <v>181</v>
      </c>
      <c r="B162" s="4">
        <v>924.0</v>
      </c>
      <c r="K162" s="4">
        <v>2.4</v>
      </c>
      <c r="L162" s="4">
        <v>234.8</v>
      </c>
      <c r="N162" s="4">
        <v>15.1</v>
      </c>
      <c r="R162" s="4">
        <v>80.0</v>
      </c>
    </row>
    <row r="163">
      <c r="A163" s="3" t="s">
        <v>182</v>
      </c>
    </row>
    <row r="164">
      <c r="A164" s="3" t="s">
        <v>183</v>
      </c>
      <c r="L164" s="4">
        <v>188.7</v>
      </c>
      <c r="N164" s="4">
        <v>29.0</v>
      </c>
      <c r="R164" s="4">
        <v>4.0</v>
      </c>
    </row>
    <row r="165">
      <c r="A165" s="3" t="s">
        <v>184</v>
      </c>
      <c r="B165" s="4">
        <v>503.0</v>
      </c>
      <c r="C165" s="4">
        <v>18.5</v>
      </c>
      <c r="D165" s="4">
        <v>32.2</v>
      </c>
      <c r="E165" s="4">
        <v>0.5</v>
      </c>
      <c r="F165" s="4">
        <v>27.9</v>
      </c>
      <c r="G165" s="4">
        <v>32.6</v>
      </c>
      <c r="H165" s="4">
        <v>37.0</v>
      </c>
      <c r="J165" s="4">
        <v>85.6</v>
      </c>
      <c r="K165" s="4">
        <v>2.99</v>
      </c>
      <c r="L165" s="4">
        <v>39.73</v>
      </c>
      <c r="M165" s="4">
        <v>1.5</v>
      </c>
      <c r="N165" s="4">
        <v>10.5</v>
      </c>
      <c r="O165" s="4">
        <v>11.5</v>
      </c>
      <c r="P165" s="4">
        <v>2.0</v>
      </c>
      <c r="Q165" s="4">
        <v>48.0</v>
      </c>
      <c r="R165" s="4">
        <v>1937.0</v>
      </c>
    </row>
    <row r="166">
      <c r="A166" s="3" t="s">
        <v>185</v>
      </c>
      <c r="B166" s="4">
        <v>2802.0</v>
      </c>
      <c r="K166" s="4">
        <v>4.7</v>
      </c>
      <c r="L166" s="4">
        <v>9.0</v>
      </c>
      <c r="N166" s="4">
        <v>7.7</v>
      </c>
      <c r="R166" s="4">
        <v>24.0</v>
      </c>
    </row>
    <row r="167">
      <c r="A167" s="3" t="s">
        <v>186</v>
      </c>
      <c r="B167" s="4">
        <v>8424.0</v>
      </c>
      <c r="K167" s="4">
        <v>13.66</v>
      </c>
      <c r="L167" s="4">
        <v>74.7</v>
      </c>
      <c r="N167" s="4">
        <v>101.0</v>
      </c>
      <c r="R167" s="4">
        <v>142.0</v>
      </c>
    </row>
    <row r="168">
      <c r="A168" s="3" t="s">
        <v>187</v>
      </c>
      <c r="B168" s="4">
        <v>545.0</v>
      </c>
      <c r="C168" s="4">
        <v>13.0</v>
      </c>
      <c r="D168" s="4">
        <v>36.7000007629</v>
      </c>
      <c r="E168" s="4">
        <v>0.4900000095</v>
      </c>
      <c r="F168" s="4">
        <v>27.0</v>
      </c>
      <c r="G168" s="4">
        <v>36.0</v>
      </c>
      <c r="H168" s="4">
        <v>32.0</v>
      </c>
      <c r="I168" s="4">
        <v>12.1999998093</v>
      </c>
      <c r="J168" s="4">
        <v>77.0</v>
      </c>
      <c r="K168" s="4">
        <v>4.0</v>
      </c>
      <c r="L168" s="4">
        <v>5.9899997711</v>
      </c>
      <c r="M168" s="4">
        <v>4.0</v>
      </c>
      <c r="N168" s="4">
        <v>13.1000003815</v>
      </c>
      <c r="O168" s="4">
        <v>17.0</v>
      </c>
      <c r="P168" s="4">
        <v>3.0</v>
      </c>
      <c r="Q168" s="4">
        <v>52.0</v>
      </c>
      <c r="R168" s="4">
        <v>338.0</v>
      </c>
      <c r="S168" s="4">
        <v>4.7899999619</v>
      </c>
    </row>
    <row r="169">
      <c r="A169" s="3" t="s">
        <v>188</v>
      </c>
      <c r="D169" s="4">
        <v>37.6</v>
      </c>
      <c r="F169" s="4">
        <v>25.6</v>
      </c>
      <c r="G169" s="4">
        <v>30.8</v>
      </c>
      <c r="I169" s="4">
        <v>18.7</v>
      </c>
      <c r="J169" s="4">
        <v>83.1</v>
      </c>
      <c r="L169" s="4">
        <v>150.5</v>
      </c>
      <c r="M169" s="4">
        <v>1.2</v>
      </c>
      <c r="N169" s="4">
        <v>11.6</v>
      </c>
      <c r="O169" s="4">
        <v>5.9</v>
      </c>
      <c r="P169" s="4">
        <v>3.5</v>
      </c>
      <c r="Q169" s="4">
        <v>54.0</v>
      </c>
      <c r="R169" s="4">
        <v>512.0</v>
      </c>
      <c r="S169" s="4">
        <v>4.53</v>
      </c>
    </row>
    <row r="170">
      <c r="A170" s="3" t="s">
        <v>189</v>
      </c>
      <c r="D170" s="4">
        <v>38.4</v>
      </c>
      <c r="F170" s="4">
        <v>29.0</v>
      </c>
      <c r="G170" s="4">
        <v>33.0</v>
      </c>
      <c r="I170" s="4">
        <v>14.4</v>
      </c>
      <c r="J170" s="4">
        <v>87.0</v>
      </c>
      <c r="L170" s="4">
        <v>55.12</v>
      </c>
      <c r="M170" s="4">
        <v>3.0</v>
      </c>
      <c r="N170" s="4">
        <v>12.6</v>
      </c>
      <c r="O170" s="4">
        <v>4.0</v>
      </c>
      <c r="P170" s="4">
        <v>2.0</v>
      </c>
      <c r="Q170" s="4">
        <v>57.0</v>
      </c>
      <c r="R170" s="4">
        <v>229.0</v>
      </c>
      <c r="S170" s="4">
        <v>4.41</v>
      </c>
    </row>
    <row r="171">
      <c r="A171" s="3" t="s">
        <v>190</v>
      </c>
      <c r="B171" s="4">
        <v>663.0</v>
      </c>
      <c r="K171" s="4">
        <v>3.7</v>
      </c>
      <c r="L171" s="4">
        <v>39.8</v>
      </c>
      <c r="N171" s="4">
        <v>8.6</v>
      </c>
      <c r="R171" s="4" t="s">
        <v>191</v>
      </c>
    </row>
    <row r="172">
      <c r="A172" s="3" t="s">
        <v>192</v>
      </c>
      <c r="B172" s="4">
        <v>1419.0</v>
      </c>
      <c r="C172" s="4">
        <v>18.0</v>
      </c>
      <c r="D172" s="4">
        <v>23.2000007629</v>
      </c>
      <c r="E172" s="4">
        <v>1.5199999809</v>
      </c>
      <c r="F172" s="4">
        <v>28.0</v>
      </c>
      <c r="G172" s="4">
        <v>35.0</v>
      </c>
      <c r="H172" s="4">
        <v>59.0</v>
      </c>
      <c r="I172" s="4">
        <v>14.3999996185</v>
      </c>
      <c r="J172" s="4">
        <v>80.0</v>
      </c>
      <c r="K172" s="4">
        <v>6.0</v>
      </c>
      <c r="L172" s="4">
        <v>13.2299995422</v>
      </c>
      <c r="M172" s="4">
        <v>1.0</v>
      </c>
      <c r="N172" s="4">
        <v>8.1000003815</v>
      </c>
      <c r="O172" s="4">
        <v>44.0</v>
      </c>
      <c r="P172" s="4">
        <v>3.0</v>
      </c>
      <c r="Q172" s="4">
        <v>1.0</v>
      </c>
      <c r="R172" s="4">
        <v>46.0</v>
      </c>
      <c r="S172" s="4">
        <v>2.9000000954</v>
      </c>
    </row>
    <row r="173">
      <c r="A173" s="3" t="s">
        <v>193</v>
      </c>
      <c r="D173" s="4">
        <v>40.0</v>
      </c>
      <c r="F173" s="4">
        <v>30.5</v>
      </c>
      <c r="G173" s="4">
        <v>34.6</v>
      </c>
      <c r="I173" s="4">
        <v>16.6</v>
      </c>
      <c r="J173" s="4">
        <v>88.2</v>
      </c>
      <c r="L173" s="4">
        <v>173.49</v>
      </c>
      <c r="M173" s="4">
        <v>1.0</v>
      </c>
      <c r="N173" s="4">
        <v>13.7</v>
      </c>
      <c r="O173" s="4">
        <v>5.0</v>
      </c>
      <c r="P173" s="4">
        <v>4.0</v>
      </c>
      <c r="R173" s="4">
        <v>190.0</v>
      </c>
      <c r="S173" s="4">
        <v>4.49</v>
      </c>
    </row>
    <row r="174">
      <c r="A174" s="3" t="s">
        <v>194</v>
      </c>
      <c r="B174" s="4">
        <v>292.0</v>
      </c>
      <c r="C174" s="4">
        <v>7.0</v>
      </c>
      <c r="D174" s="4">
        <v>12.0</v>
      </c>
      <c r="E174" s="4">
        <v>0.3199999928</v>
      </c>
      <c r="F174" s="4">
        <v>27.0</v>
      </c>
      <c r="G174" s="4">
        <v>33.0</v>
      </c>
      <c r="H174" s="4">
        <v>23.0</v>
      </c>
      <c r="I174" s="4">
        <v>18.3999996185</v>
      </c>
      <c r="J174" s="4">
        <v>81.0</v>
      </c>
      <c r="K174" s="4">
        <v>4.5999999046</v>
      </c>
      <c r="L174" s="4">
        <v>27.0699996948</v>
      </c>
      <c r="M174" s="4">
        <v>0.0</v>
      </c>
      <c r="N174" s="4">
        <v>4.0</v>
      </c>
      <c r="O174" s="4">
        <v>22.0</v>
      </c>
      <c r="P174" s="4">
        <v>1.0</v>
      </c>
      <c r="Q174" s="4">
        <v>1.0</v>
      </c>
      <c r="R174" s="4">
        <v>10.0</v>
      </c>
      <c r="S174" s="4">
        <v>1.4800000191</v>
      </c>
    </row>
    <row r="175">
      <c r="A175" s="3" t="s">
        <v>195</v>
      </c>
      <c r="B175" s="4">
        <v>404.0</v>
      </c>
      <c r="K175" s="4">
        <v>5.36</v>
      </c>
      <c r="L175" s="4">
        <v>22.02</v>
      </c>
      <c r="N175" s="4">
        <v>73.0</v>
      </c>
      <c r="R175" s="4">
        <v>123.0</v>
      </c>
    </row>
    <row r="176">
      <c r="A176" s="3" t="s">
        <v>196</v>
      </c>
      <c r="B176" s="4">
        <v>166.0</v>
      </c>
      <c r="C176" s="4">
        <v>7.0</v>
      </c>
      <c r="D176" s="4">
        <v>22.3999996185</v>
      </c>
      <c r="E176" s="4">
        <v>0.3199999928</v>
      </c>
      <c r="F176" s="4">
        <v>29.0</v>
      </c>
      <c r="G176" s="4">
        <v>32.0</v>
      </c>
      <c r="H176" s="4">
        <v>15.0</v>
      </c>
      <c r="I176" s="4">
        <v>12.6000003815</v>
      </c>
      <c r="J176" s="4">
        <v>91.0</v>
      </c>
      <c r="K176" s="4">
        <v>3.9000000954</v>
      </c>
      <c r="L176" s="4">
        <v>11.5200004578</v>
      </c>
      <c r="M176" s="4">
        <v>0.0</v>
      </c>
      <c r="N176" s="4">
        <v>6.0999999046</v>
      </c>
      <c r="O176" s="4">
        <v>20.0</v>
      </c>
      <c r="P176" s="4">
        <v>0.0</v>
      </c>
      <c r="Q176" s="4">
        <v>0.0</v>
      </c>
      <c r="R176" s="4">
        <v>226.0</v>
      </c>
      <c r="S176" s="4">
        <v>2.4700000286</v>
      </c>
    </row>
    <row r="177">
      <c r="A177" s="3" t="s">
        <v>197</v>
      </c>
      <c r="L177" s="4">
        <v>8.2</v>
      </c>
      <c r="N177" s="4">
        <v>8.5</v>
      </c>
      <c r="R177" s="4">
        <v>88.0</v>
      </c>
    </row>
    <row r="178">
      <c r="A178" s="3" t="s">
        <v>198</v>
      </c>
      <c r="L178" s="4">
        <v>19.1</v>
      </c>
      <c r="N178" s="4">
        <v>8.4</v>
      </c>
      <c r="R178" s="4">
        <v>41.0</v>
      </c>
    </row>
    <row r="179">
      <c r="A179" s="3" t="s">
        <v>199</v>
      </c>
      <c r="B179" s="4">
        <v>405.0</v>
      </c>
      <c r="K179" s="4">
        <v>0.9</v>
      </c>
      <c r="L179" s="4">
        <v>0.97</v>
      </c>
      <c r="N179" s="4">
        <v>8.7</v>
      </c>
      <c r="R179" s="4">
        <v>50.0</v>
      </c>
    </row>
    <row r="180">
      <c r="A180" s="3" t="s">
        <v>200</v>
      </c>
      <c r="B180" s="4">
        <v>376.0</v>
      </c>
      <c r="K180" s="4">
        <v>5.7</v>
      </c>
      <c r="L180" s="4">
        <v>37.55</v>
      </c>
      <c r="N180" s="4">
        <v>87.0</v>
      </c>
      <c r="R180" s="4">
        <v>510.0</v>
      </c>
    </row>
    <row r="181">
      <c r="A181" s="3" t="s">
        <v>201</v>
      </c>
      <c r="B181" s="4">
        <v>198.0</v>
      </c>
      <c r="C181" s="4">
        <v>86.0</v>
      </c>
      <c r="D181" s="4">
        <v>16.2000007629</v>
      </c>
      <c r="E181" s="4">
        <v>0.7099999785</v>
      </c>
      <c r="F181" s="4">
        <v>30.0</v>
      </c>
      <c r="G181" s="4">
        <v>36.0</v>
      </c>
      <c r="H181" s="4">
        <v>54.0</v>
      </c>
      <c r="I181" s="4">
        <v>13.6999998093</v>
      </c>
      <c r="J181" s="4">
        <v>84.0</v>
      </c>
      <c r="K181" s="4">
        <v>3.5999999046</v>
      </c>
      <c r="L181" s="4">
        <v>1.6799999475</v>
      </c>
      <c r="M181" s="4">
        <v>0.0</v>
      </c>
      <c r="N181" s="4">
        <v>5.8000001907</v>
      </c>
      <c r="O181" s="4">
        <v>68.0</v>
      </c>
      <c r="P181" s="4">
        <v>2.0</v>
      </c>
      <c r="Q181" s="4">
        <v>16.0</v>
      </c>
      <c r="R181" s="4">
        <v>94.0</v>
      </c>
      <c r="S181" s="4">
        <v>1.9299999475</v>
      </c>
    </row>
    <row r="182">
      <c r="A182" s="3" t="s">
        <v>202</v>
      </c>
      <c r="B182" s="4">
        <v>1740.0</v>
      </c>
      <c r="C182" s="4">
        <v>4.0</v>
      </c>
      <c r="D182" s="4">
        <v>31.0</v>
      </c>
      <c r="E182" s="4">
        <v>0.47</v>
      </c>
      <c r="F182" s="4">
        <v>28.0</v>
      </c>
      <c r="G182" s="4">
        <v>26.0</v>
      </c>
      <c r="H182" s="4">
        <v>72.0</v>
      </c>
      <c r="I182" s="4">
        <v>19.4</v>
      </c>
      <c r="J182" s="4">
        <v>110.0</v>
      </c>
      <c r="K182" s="4">
        <v>8.8</v>
      </c>
      <c r="L182" s="4">
        <v>626.0</v>
      </c>
      <c r="M182" s="4">
        <v>5.0</v>
      </c>
      <c r="N182" s="4">
        <v>8.0</v>
      </c>
      <c r="O182" s="4">
        <v>1.0</v>
      </c>
      <c r="Q182" s="4">
        <v>36.0</v>
      </c>
      <c r="R182" s="4">
        <v>1098.0</v>
      </c>
      <c r="S182" s="4">
        <v>2.83</v>
      </c>
    </row>
    <row r="183">
      <c r="A183" s="3" t="s">
        <v>203</v>
      </c>
      <c r="B183" s="4">
        <v>3797.0</v>
      </c>
      <c r="K183" s="4" t="s">
        <v>204</v>
      </c>
      <c r="L183" s="4">
        <v>17.9</v>
      </c>
      <c r="N183" s="4">
        <v>8.6</v>
      </c>
      <c r="R183" s="4">
        <v>95.0</v>
      </c>
    </row>
    <row r="184">
      <c r="A184" s="3" t="s">
        <v>205</v>
      </c>
      <c r="B184" s="4">
        <v>200.0</v>
      </c>
      <c r="K184" s="4">
        <v>6.2</v>
      </c>
      <c r="L184" s="4">
        <v>20.4</v>
      </c>
      <c r="N184" s="4">
        <v>13.0</v>
      </c>
      <c r="R184" s="4">
        <v>324.0</v>
      </c>
    </row>
    <row r="185">
      <c r="A185" s="3" t="s">
        <v>206</v>
      </c>
      <c r="B185" s="4">
        <v>1085.0</v>
      </c>
      <c r="K185" s="4">
        <v>7.39</v>
      </c>
      <c r="L185" s="4">
        <v>3.04</v>
      </c>
      <c r="N185" s="4">
        <v>56.0</v>
      </c>
      <c r="R185" s="4">
        <v>67.0</v>
      </c>
    </row>
    <row r="186">
      <c r="A186" s="3" t="s">
        <v>207</v>
      </c>
      <c r="B186" s="4">
        <v>452.0</v>
      </c>
      <c r="K186" s="4">
        <v>8.4</v>
      </c>
      <c r="L186" s="4">
        <v>24.8</v>
      </c>
      <c r="N186" s="4">
        <v>4.4</v>
      </c>
      <c r="R186" s="4">
        <v>20.0</v>
      </c>
    </row>
    <row r="187">
      <c r="A187" s="3" t="s">
        <v>208</v>
      </c>
      <c r="B187" s="4">
        <v>1078.0</v>
      </c>
      <c r="K187" s="4">
        <v>2.9</v>
      </c>
      <c r="L187" s="4">
        <v>28.52</v>
      </c>
      <c r="N187" s="4">
        <v>8.2</v>
      </c>
      <c r="R187" s="4">
        <v>84.0</v>
      </c>
    </row>
    <row r="188">
      <c r="A188" s="3" t="s">
        <v>209</v>
      </c>
      <c r="L188" s="4">
        <v>6.1</v>
      </c>
      <c r="N188" s="4">
        <v>8.9</v>
      </c>
      <c r="R188" s="4">
        <v>48.0</v>
      </c>
    </row>
    <row r="189">
      <c r="A189" s="3" t="s">
        <v>210</v>
      </c>
      <c r="B189" s="4" t="s">
        <v>211</v>
      </c>
      <c r="K189" s="4">
        <v>27.8</v>
      </c>
      <c r="L189" s="4">
        <v>501.5</v>
      </c>
      <c r="N189" s="4">
        <v>6.9</v>
      </c>
      <c r="R189" s="4">
        <v>99.0</v>
      </c>
    </row>
    <row r="190">
      <c r="A190" s="3" t="s">
        <v>212</v>
      </c>
      <c r="B190" s="4">
        <v>966.0</v>
      </c>
      <c r="C190" s="4">
        <v>21.0</v>
      </c>
      <c r="D190" s="4">
        <v>35.0</v>
      </c>
      <c r="E190" s="4">
        <v>0.8</v>
      </c>
      <c r="F190" s="4">
        <v>30.0</v>
      </c>
      <c r="H190" s="4">
        <v>43.0</v>
      </c>
      <c r="J190" s="4">
        <v>86.0</v>
      </c>
      <c r="L190" s="4">
        <v>91.0</v>
      </c>
      <c r="M190" s="4">
        <v>1.0</v>
      </c>
      <c r="N190" s="4">
        <v>12.0</v>
      </c>
      <c r="O190" s="4">
        <v>8.0</v>
      </c>
      <c r="P190" s="4">
        <v>2.0</v>
      </c>
      <c r="Q190" s="4">
        <v>42.0</v>
      </c>
      <c r="R190" s="4">
        <v>1213.0</v>
      </c>
      <c r="S190" s="4">
        <v>4.0</v>
      </c>
    </row>
    <row r="191">
      <c r="A191" s="3" t="s">
        <v>213</v>
      </c>
      <c r="L191" s="4">
        <v>2.48</v>
      </c>
      <c r="N191" s="4">
        <v>5.0</v>
      </c>
      <c r="R191" s="4">
        <v>9.0</v>
      </c>
    </row>
    <row r="192">
      <c r="A192" s="3" t="s">
        <v>214</v>
      </c>
      <c r="C192" s="4">
        <v>29.0</v>
      </c>
      <c r="H192" s="4">
        <v>69.0</v>
      </c>
      <c r="L192" s="4">
        <v>55.8</v>
      </c>
      <c r="M192" s="4">
        <v>6.0</v>
      </c>
      <c r="N192" s="4">
        <v>11.76</v>
      </c>
      <c r="R192" s="4">
        <v>467.0</v>
      </c>
      <c r="S192" s="4">
        <v>4.4</v>
      </c>
    </row>
    <row r="193">
      <c r="A193" s="3" t="s">
        <v>215</v>
      </c>
      <c r="B193" s="4">
        <v>712.0</v>
      </c>
      <c r="C193" s="4">
        <v>22.0</v>
      </c>
      <c r="E193" s="4">
        <v>0.6</v>
      </c>
      <c r="H193" s="4">
        <v>28.0</v>
      </c>
      <c r="J193" s="4">
        <v>91.7</v>
      </c>
      <c r="K193" s="4">
        <v>5.9</v>
      </c>
      <c r="L193" s="4">
        <v>82.0</v>
      </c>
      <c r="M193" s="4">
        <v>3.9</v>
      </c>
      <c r="N193" s="4">
        <v>12.6</v>
      </c>
      <c r="O193" s="4">
        <v>9.9</v>
      </c>
      <c r="P193" s="4">
        <v>3.4</v>
      </c>
      <c r="Q193" s="4">
        <v>40.0</v>
      </c>
      <c r="R193" s="4">
        <v>543.0</v>
      </c>
      <c r="S193" s="4">
        <v>4.35</v>
      </c>
    </row>
    <row r="194">
      <c r="A194" s="3" t="s">
        <v>216</v>
      </c>
      <c r="L194" s="4">
        <v>5.1</v>
      </c>
      <c r="N194" s="4">
        <v>87.0</v>
      </c>
      <c r="R194" s="4">
        <v>10.0</v>
      </c>
    </row>
    <row r="195">
      <c r="A195" s="3" t="s">
        <v>217</v>
      </c>
      <c r="B195" s="4">
        <v>2244.0</v>
      </c>
      <c r="K195" s="4">
        <v>6.79</v>
      </c>
      <c r="L195" s="4">
        <v>19.68</v>
      </c>
      <c r="N195" s="4">
        <v>77.0</v>
      </c>
      <c r="R195" s="4">
        <v>34.0</v>
      </c>
    </row>
    <row r="196">
      <c r="A196" s="3" t="s">
        <v>218</v>
      </c>
      <c r="B196" s="4">
        <v>426.0</v>
      </c>
      <c r="C196" s="4">
        <v>8.0</v>
      </c>
      <c r="D196" s="4">
        <v>14.3999996185</v>
      </c>
      <c r="E196" s="4">
        <v>0.5</v>
      </c>
      <c r="F196" s="4">
        <v>28.0</v>
      </c>
      <c r="G196" s="4">
        <v>33.0</v>
      </c>
      <c r="H196" s="4">
        <v>32.0</v>
      </c>
      <c r="I196" s="4">
        <v>23.2999992371</v>
      </c>
      <c r="J196" s="4">
        <v>86.0</v>
      </c>
      <c r="K196" s="4">
        <v>5.4000000954</v>
      </c>
      <c r="L196" s="4">
        <v>5.2699999809</v>
      </c>
      <c r="M196" s="4">
        <v>3.0</v>
      </c>
      <c r="N196" s="4">
        <v>4.6999998093</v>
      </c>
      <c r="O196" s="4">
        <v>85.0</v>
      </c>
      <c r="P196" s="4">
        <v>2.0</v>
      </c>
      <c r="Q196" s="4">
        <v>12.0</v>
      </c>
      <c r="R196" s="4">
        <v>47.0</v>
      </c>
      <c r="S196" s="4">
        <v>1.6699999571</v>
      </c>
    </row>
    <row r="197">
      <c r="A197" s="3" t="s">
        <v>219</v>
      </c>
      <c r="D197" s="4">
        <v>20.8</v>
      </c>
      <c r="F197" s="4">
        <v>34.4</v>
      </c>
      <c r="G197" s="4">
        <v>35.1</v>
      </c>
      <c r="I197" s="4">
        <v>18.3</v>
      </c>
      <c r="J197" s="4">
        <v>98.1</v>
      </c>
      <c r="L197" s="4">
        <v>185.9</v>
      </c>
      <c r="M197" s="4">
        <v>0.4</v>
      </c>
      <c r="N197" s="4">
        <v>7.3</v>
      </c>
      <c r="O197" s="4">
        <v>5.0</v>
      </c>
      <c r="P197" s="4">
        <v>9.0</v>
      </c>
      <c r="Q197" s="4">
        <v>27.0</v>
      </c>
      <c r="R197" s="4">
        <v>414.0</v>
      </c>
      <c r="S197" s="4">
        <v>2.2</v>
      </c>
    </row>
    <row r="198">
      <c r="A198" s="3" t="s">
        <v>220</v>
      </c>
      <c r="D198" s="4">
        <v>30.2</v>
      </c>
      <c r="F198" s="4">
        <v>29.7</v>
      </c>
      <c r="G198" s="4">
        <v>34.1</v>
      </c>
      <c r="J198" s="4">
        <v>87.0</v>
      </c>
      <c r="L198" s="4">
        <v>13.69</v>
      </c>
      <c r="M198" s="4">
        <v>2.0</v>
      </c>
      <c r="N198" s="4">
        <v>10.3</v>
      </c>
      <c r="O198" s="4">
        <v>11.0</v>
      </c>
      <c r="P198" s="4">
        <v>7.0</v>
      </c>
      <c r="Q198" s="4">
        <v>46.0</v>
      </c>
      <c r="R198" s="4">
        <v>334.0</v>
      </c>
      <c r="S198" s="4">
        <v>3.47</v>
      </c>
    </row>
    <row r="199">
      <c r="A199" s="3" t="s">
        <v>221</v>
      </c>
      <c r="L199" s="4">
        <v>31.05</v>
      </c>
      <c r="N199" s="4">
        <v>111.0</v>
      </c>
      <c r="R199" s="4">
        <v>3.8</v>
      </c>
    </row>
    <row r="200">
      <c r="A200" s="3" t="s">
        <v>222</v>
      </c>
      <c r="C200" s="4">
        <v>22.0</v>
      </c>
      <c r="D200" s="4">
        <v>25.4</v>
      </c>
      <c r="F200" s="4">
        <v>26.5</v>
      </c>
      <c r="G200" s="4">
        <v>31.2</v>
      </c>
      <c r="H200" s="4">
        <v>22.0</v>
      </c>
      <c r="I200" s="4">
        <v>20.1</v>
      </c>
      <c r="J200" s="4">
        <v>85.1</v>
      </c>
      <c r="K200" s="4">
        <v>5.5</v>
      </c>
      <c r="L200" s="4">
        <v>146.0</v>
      </c>
      <c r="M200" s="4">
        <v>3.9</v>
      </c>
      <c r="N200" s="4">
        <v>7.9</v>
      </c>
      <c r="O200" s="4">
        <v>7.0</v>
      </c>
      <c r="P200" s="4">
        <v>1.4</v>
      </c>
      <c r="R200" s="4">
        <v>288.0</v>
      </c>
      <c r="S200" s="4">
        <v>2.98</v>
      </c>
    </row>
    <row r="201">
      <c r="A201" s="3" t="s">
        <v>223</v>
      </c>
      <c r="B201" s="4">
        <v>2200.0</v>
      </c>
      <c r="C201" s="4">
        <v>14.0</v>
      </c>
      <c r="D201" s="4">
        <v>14.3000001907</v>
      </c>
      <c r="E201" s="4">
        <v>0.3600000143</v>
      </c>
      <c r="F201" s="4">
        <v>26.0</v>
      </c>
      <c r="G201" s="4">
        <v>33.0</v>
      </c>
      <c r="H201" s="4">
        <v>93.0</v>
      </c>
      <c r="I201" s="4">
        <v>15.6999998093</v>
      </c>
      <c r="J201" s="4">
        <v>72.0</v>
      </c>
      <c r="K201" s="4">
        <v>3.4000000954</v>
      </c>
      <c r="L201" s="4">
        <v>55.9500007629</v>
      </c>
      <c r="M201" s="4">
        <v>0.0</v>
      </c>
      <c r="N201" s="4">
        <v>4.9000000954</v>
      </c>
      <c r="O201" s="4">
        <v>4.0</v>
      </c>
      <c r="P201" s="4">
        <v>0.0</v>
      </c>
      <c r="Q201" s="4">
        <v>3.0</v>
      </c>
      <c r="R201" s="4">
        <v>43.0</v>
      </c>
      <c r="S201" s="4">
        <v>1.9800000191</v>
      </c>
    </row>
    <row r="202">
      <c r="A202" s="3" t="s">
        <v>224</v>
      </c>
    </row>
    <row r="203">
      <c r="A203" s="3" t="s">
        <v>225</v>
      </c>
      <c r="C203" s="4">
        <v>18.0</v>
      </c>
      <c r="E203" s="4">
        <v>0.44</v>
      </c>
      <c r="H203" s="4">
        <v>30.0</v>
      </c>
      <c r="J203" s="4">
        <v>95.0</v>
      </c>
      <c r="L203" s="4">
        <v>38.05</v>
      </c>
      <c r="M203" s="4">
        <v>2.0</v>
      </c>
      <c r="N203" s="4">
        <v>10.8</v>
      </c>
      <c r="O203" s="4">
        <v>31.0</v>
      </c>
      <c r="P203" s="4">
        <v>12.0</v>
      </c>
      <c r="R203" s="4">
        <v>162.0</v>
      </c>
      <c r="S203" s="4">
        <v>4.33</v>
      </c>
    </row>
    <row r="204">
      <c r="A204" s="3" t="s">
        <v>226</v>
      </c>
      <c r="B204" s="4">
        <v>1130.0</v>
      </c>
      <c r="C204" s="4">
        <v>21.0</v>
      </c>
      <c r="D204" s="4">
        <v>0.301</v>
      </c>
      <c r="E204" s="4">
        <v>0.5</v>
      </c>
      <c r="F204" s="4">
        <v>30.5</v>
      </c>
      <c r="G204" s="4">
        <v>35.5</v>
      </c>
      <c r="H204" s="4">
        <v>38.0</v>
      </c>
      <c r="I204" s="4">
        <v>18.4</v>
      </c>
      <c r="J204" s="4">
        <v>85.8</v>
      </c>
      <c r="K204" s="4">
        <v>5.4</v>
      </c>
      <c r="L204" s="4">
        <v>222.0</v>
      </c>
      <c r="M204" s="4">
        <v>3.0</v>
      </c>
      <c r="N204" s="4">
        <v>10.7</v>
      </c>
      <c r="O204" s="4">
        <v>4.0</v>
      </c>
      <c r="P204" s="4">
        <v>5.0</v>
      </c>
      <c r="Q204" s="4">
        <v>44.0</v>
      </c>
      <c r="R204" s="4">
        <v>769.0</v>
      </c>
      <c r="S204" s="4">
        <v>3.51</v>
      </c>
    </row>
    <row r="205">
      <c r="A205" s="3" t="s">
        <v>227</v>
      </c>
      <c r="B205" s="4">
        <v>123.0</v>
      </c>
      <c r="C205" s="4">
        <v>26.0</v>
      </c>
      <c r="D205" s="4">
        <v>38.0999984741</v>
      </c>
      <c r="E205" s="4">
        <v>1.1100000143</v>
      </c>
      <c r="F205" s="4">
        <v>33.0</v>
      </c>
      <c r="G205" s="4">
        <v>36.0</v>
      </c>
      <c r="H205" s="4">
        <v>18.0</v>
      </c>
      <c r="I205" s="4">
        <v>14.1000003815</v>
      </c>
      <c r="J205" s="4">
        <v>92.0</v>
      </c>
      <c r="K205" s="4">
        <v>7.1999998093</v>
      </c>
      <c r="L205" s="4">
        <v>4.8099999428</v>
      </c>
      <c r="M205" s="4">
        <v>0.0</v>
      </c>
      <c r="N205" s="4">
        <v>13.8000001907</v>
      </c>
      <c r="O205" s="4">
        <v>50.0</v>
      </c>
      <c r="P205" s="4">
        <v>18.0</v>
      </c>
      <c r="Q205" s="4">
        <v>2.0</v>
      </c>
      <c r="R205" s="4">
        <v>106.0</v>
      </c>
      <c r="S205" s="4">
        <v>4.1599998474</v>
      </c>
    </row>
    <row r="206">
      <c r="A206" s="3" t="s">
        <v>228</v>
      </c>
      <c r="B206" s="4">
        <v>3076.0</v>
      </c>
      <c r="K206" s="4">
        <v>10.2</v>
      </c>
      <c r="L206" s="4">
        <v>2.85</v>
      </c>
      <c r="N206" s="4">
        <v>11.6</v>
      </c>
      <c r="R206" s="4">
        <v>33.0</v>
      </c>
    </row>
    <row r="207">
      <c r="A207" s="3" t="s">
        <v>229</v>
      </c>
      <c r="B207" s="4">
        <v>551.0</v>
      </c>
      <c r="C207" s="4">
        <v>11.0</v>
      </c>
      <c r="D207" s="4">
        <v>25.1000003815</v>
      </c>
      <c r="E207" s="4">
        <v>0.4099999964</v>
      </c>
      <c r="F207" s="4">
        <v>26.0</v>
      </c>
      <c r="G207" s="4">
        <v>34.0</v>
      </c>
      <c r="H207" s="4">
        <v>67.0</v>
      </c>
      <c r="I207" s="4">
        <v>22.7000007629</v>
      </c>
      <c r="J207" s="4">
        <v>78.0</v>
      </c>
      <c r="K207" s="4">
        <v>4.0999999046</v>
      </c>
      <c r="L207" s="4">
        <v>2.4400000572</v>
      </c>
      <c r="M207" s="4">
        <v>0.0</v>
      </c>
      <c r="N207" s="4">
        <v>8.3999996185</v>
      </c>
      <c r="O207" s="4">
        <v>60.0</v>
      </c>
      <c r="P207" s="4">
        <v>2.0</v>
      </c>
      <c r="Q207" s="4">
        <v>22.0</v>
      </c>
      <c r="R207" s="4">
        <v>112.0</v>
      </c>
      <c r="S207" s="4">
        <v>3.2000000477</v>
      </c>
    </row>
    <row r="208">
      <c r="A208" s="3" t="s">
        <v>230</v>
      </c>
      <c r="B208" s="4">
        <v>1135.0</v>
      </c>
      <c r="D208" s="4">
        <v>31.3</v>
      </c>
      <c r="F208" s="4">
        <v>33.6</v>
      </c>
      <c r="G208" s="4">
        <v>38.1</v>
      </c>
      <c r="H208" s="4">
        <v>58.8</v>
      </c>
      <c r="I208" s="4">
        <v>18.8</v>
      </c>
      <c r="J208" s="4">
        <v>88.0</v>
      </c>
      <c r="K208" s="4">
        <v>6.38</v>
      </c>
      <c r="L208" s="4">
        <v>445.1</v>
      </c>
      <c r="M208" s="4">
        <v>1.0</v>
      </c>
      <c r="N208" s="4">
        <v>10.0</v>
      </c>
      <c r="O208" s="4">
        <v>2.0</v>
      </c>
      <c r="P208" s="4">
        <v>1.0</v>
      </c>
      <c r="Q208" s="4">
        <v>23.0</v>
      </c>
      <c r="R208" s="4">
        <v>459.0</v>
      </c>
      <c r="S208" s="4">
        <v>3.01</v>
      </c>
    </row>
    <row r="209">
      <c r="A209" s="3" t="s">
        <v>231</v>
      </c>
      <c r="L209" s="4">
        <v>59.0</v>
      </c>
      <c r="N209" s="4">
        <v>7.6</v>
      </c>
      <c r="R209" s="4">
        <v>20.0</v>
      </c>
    </row>
    <row r="210">
      <c r="A210" s="3" t="s">
        <v>232</v>
      </c>
      <c r="L210" s="4">
        <v>92.0</v>
      </c>
      <c r="N210" s="4">
        <v>14.5</v>
      </c>
      <c r="R210" s="4">
        <v>91.0</v>
      </c>
    </row>
    <row r="211">
      <c r="A211" s="3" t="s">
        <v>233</v>
      </c>
      <c r="B211" s="4">
        <v>867.0</v>
      </c>
      <c r="C211" s="4">
        <v>18.0</v>
      </c>
      <c r="D211" s="4">
        <v>16.7999992371</v>
      </c>
      <c r="E211" s="4">
        <v>0.7099999785</v>
      </c>
      <c r="F211" s="4">
        <v>33.0</v>
      </c>
      <c r="G211" s="4">
        <v>33.0</v>
      </c>
      <c r="H211" s="4">
        <v>28.0</v>
      </c>
      <c r="I211" s="4">
        <v>19.2000007629</v>
      </c>
      <c r="J211" s="4">
        <v>99.0</v>
      </c>
      <c r="K211" s="4">
        <v>7.4000000954</v>
      </c>
      <c r="L211" s="4">
        <v>37.6399993896</v>
      </c>
      <c r="M211" s="4">
        <v>0.0</v>
      </c>
      <c r="N211" s="4">
        <v>5.5</v>
      </c>
      <c r="O211" s="4">
        <v>8.0</v>
      </c>
      <c r="P211" s="4">
        <v>0.0</v>
      </c>
      <c r="Q211" s="4">
        <v>1.0</v>
      </c>
      <c r="R211" s="4">
        <v>70.0</v>
      </c>
      <c r="S211" s="4">
        <v>1.6900000572</v>
      </c>
    </row>
    <row r="212">
      <c r="A212" s="3" t="s">
        <v>234</v>
      </c>
      <c r="L212" s="4">
        <v>1.05</v>
      </c>
      <c r="N212" s="4">
        <v>8.4</v>
      </c>
      <c r="R212" s="4">
        <v>60.0</v>
      </c>
    </row>
    <row r="213">
      <c r="A213" s="3" t="s">
        <v>235</v>
      </c>
      <c r="B213" s="4">
        <v>504.0</v>
      </c>
      <c r="C213" s="4">
        <v>15.0</v>
      </c>
      <c r="D213" s="4">
        <v>24.2999992371</v>
      </c>
      <c r="E213" s="4">
        <v>0.5600000024</v>
      </c>
      <c r="F213" s="4">
        <v>30.0</v>
      </c>
      <c r="G213" s="4">
        <v>35.0</v>
      </c>
      <c r="H213" s="4">
        <v>19.0</v>
      </c>
      <c r="I213" s="4">
        <v>12.1999998093</v>
      </c>
      <c r="J213" s="4">
        <v>86.0</v>
      </c>
      <c r="K213" s="4">
        <v>2.7999999523</v>
      </c>
      <c r="L213" s="4">
        <v>1.7000000477</v>
      </c>
      <c r="M213" s="4">
        <v>0.0</v>
      </c>
      <c r="N213" s="4">
        <v>8.5</v>
      </c>
      <c r="O213" s="4">
        <v>50.0</v>
      </c>
      <c r="P213" s="4">
        <v>12.0</v>
      </c>
      <c r="Q213" s="4">
        <v>18.0</v>
      </c>
      <c r="R213" s="4">
        <v>60.0</v>
      </c>
      <c r="S213" s="4">
        <v>2.8399999142</v>
      </c>
    </row>
    <row r="214">
      <c r="A214" s="3" t="s">
        <v>236</v>
      </c>
      <c r="B214" s="4">
        <v>497.0</v>
      </c>
      <c r="C214" s="4">
        <v>11.0</v>
      </c>
      <c r="D214" s="4">
        <v>13.3000001907</v>
      </c>
      <c r="E214" s="4">
        <v>0.5600000024</v>
      </c>
      <c r="F214" s="4">
        <v>29.0</v>
      </c>
      <c r="G214" s="4">
        <v>34.0</v>
      </c>
      <c r="H214" s="4">
        <v>36.0</v>
      </c>
      <c r="I214" s="4">
        <v>22.2999992371</v>
      </c>
      <c r="J214" s="4">
        <v>85.0</v>
      </c>
      <c r="K214" s="4">
        <v>2.7999999523</v>
      </c>
      <c r="L214" s="4">
        <v>1.5299999714</v>
      </c>
      <c r="M214" s="4">
        <v>2.0</v>
      </c>
      <c r="N214" s="4">
        <v>4.5</v>
      </c>
      <c r="O214" s="4">
        <v>58.0</v>
      </c>
      <c r="P214" s="4">
        <v>4.0</v>
      </c>
      <c r="Q214" s="4">
        <v>16.0</v>
      </c>
      <c r="R214" s="4">
        <v>25.0</v>
      </c>
      <c r="S214" s="4">
        <v>1.5700000525</v>
      </c>
    </row>
    <row r="215">
      <c r="A215" s="3" t="s">
        <v>237</v>
      </c>
      <c r="B215" s="4">
        <v>414.0</v>
      </c>
      <c r="K215" s="4">
        <v>4.4</v>
      </c>
      <c r="L215" s="4">
        <v>22.42</v>
      </c>
      <c r="N215" s="4">
        <v>4.6</v>
      </c>
      <c r="R215" s="4">
        <v>57.0</v>
      </c>
    </row>
    <row r="216">
      <c r="A216" s="3" t="s">
        <v>238</v>
      </c>
      <c r="B216" s="4">
        <v>1297.0</v>
      </c>
      <c r="C216" s="4">
        <v>12.0</v>
      </c>
      <c r="D216" s="4">
        <v>25.1000003815</v>
      </c>
      <c r="E216" s="4">
        <v>0.3300000131</v>
      </c>
      <c r="F216" s="4">
        <v>25.0</v>
      </c>
      <c r="G216" s="4">
        <v>36.0</v>
      </c>
      <c r="H216" s="4">
        <v>64.0</v>
      </c>
      <c r="I216" s="4">
        <v>13.6999998093</v>
      </c>
      <c r="J216" s="4">
        <v>68.0</v>
      </c>
      <c r="K216" s="4">
        <v>7.6999998093</v>
      </c>
      <c r="L216" s="4">
        <v>23.3199996948</v>
      </c>
      <c r="M216" s="4">
        <v>1.0</v>
      </c>
      <c r="N216" s="4">
        <v>9.1000003815</v>
      </c>
      <c r="O216" s="4">
        <v>36.0</v>
      </c>
      <c r="P216" s="4">
        <v>0.0</v>
      </c>
      <c r="Q216" s="4">
        <v>8.0</v>
      </c>
      <c r="R216" s="4">
        <v>22.0</v>
      </c>
      <c r="S216" s="4">
        <v>3.6800000668</v>
      </c>
    </row>
    <row r="217">
      <c r="A217" s="3" t="s">
        <v>239</v>
      </c>
      <c r="B217" s="4">
        <v>338.0</v>
      </c>
      <c r="C217" s="4">
        <v>15.0</v>
      </c>
      <c r="D217" s="4">
        <v>46.1</v>
      </c>
      <c r="E217" s="4">
        <v>0.82</v>
      </c>
      <c r="F217" s="4">
        <v>29.0</v>
      </c>
      <c r="G217" s="4">
        <v>32.0</v>
      </c>
      <c r="H217" s="4">
        <v>25.0</v>
      </c>
      <c r="I217" s="4">
        <v>15.6</v>
      </c>
      <c r="J217" s="4">
        <v>86.6</v>
      </c>
      <c r="K217" s="4">
        <v>7.8</v>
      </c>
      <c r="L217" s="4">
        <v>45.9</v>
      </c>
      <c r="M217" s="4">
        <v>2.0</v>
      </c>
      <c r="N217" s="4">
        <v>15.1</v>
      </c>
      <c r="O217" s="4">
        <v>7.0</v>
      </c>
      <c r="P217" s="4">
        <v>1.0</v>
      </c>
      <c r="Q217" s="4">
        <v>74.0</v>
      </c>
      <c r="R217" s="4">
        <v>605.0</v>
      </c>
      <c r="S217" s="4">
        <v>5.2</v>
      </c>
    </row>
    <row r="218">
      <c r="A218" s="3" t="s">
        <v>240</v>
      </c>
      <c r="D218" s="4">
        <v>43.5</v>
      </c>
      <c r="F218" s="4">
        <v>26.9</v>
      </c>
      <c r="G218" s="4">
        <v>32.0</v>
      </c>
      <c r="I218" s="4">
        <v>16.3</v>
      </c>
      <c r="J218" s="4">
        <v>84.1</v>
      </c>
      <c r="L218" s="4">
        <v>30.25</v>
      </c>
      <c r="M218" s="4">
        <v>1.0</v>
      </c>
      <c r="N218" s="4">
        <v>13.9</v>
      </c>
      <c r="O218" s="4">
        <v>17.0</v>
      </c>
      <c r="P218" s="4">
        <v>3.0</v>
      </c>
      <c r="Q218" s="4">
        <v>63.0</v>
      </c>
      <c r="R218" s="4">
        <v>221.0</v>
      </c>
      <c r="S218" s="4">
        <v>5.17</v>
      </c>
    </row>
    <row r="219">
      <c r="A219" s="3" t="s">
        <v>241</v>
      </c>
    </row>
    <row r="220">
      <c r="A220" s="3" t="s">
        <v>242</v>
      </c>
      <c r="B220" s="4">
        <v>285.0</v>
      </c>
      <c r="C220" s="4">
        <v>14.0</v>
      </c>
      <c r="D220" s="4">
        <v>7.5</v>
      </c>
      <c r="E220" s="4">
        <v>0.4199999869</v>
      </c>
      <c r="F220" s="4">
        <v>27.0</v>
      </c>
      <c r="G220" s="4">
        <v>36.0</v>
      </c>
      <c r="H220" s="4">
        <v>32.0</v>
      </c>
      <c r="I220" s="4">
        <v>14.3000001907</v>
      </c>
      <c r="J220" s="4">
        <v>79.0</v>
      </c>
      <c r="K220" s="4">
        <v>4.6999998093</v>
      </c>
      <c r="L220" s="4">
        <v>2.8699998856</v>
      </c>
      <c r="M220" s="4">
        <v>2.0</v>
      </c>
      <c r="N220" s="4">
        <v>2.7000000477</v>
      </c>
      <c r="O220" s="4">
        <v>55.0</v>
      </c>
      <c r="P220" s="4">
        <v>2.0</v>
      </c>
      <c r="Q220" s="4">
        <v>26.0</v>
      </c>
      <c r="R220" s="4">
        <v>171.0</v>
      </c>
      <c r="S220" s="4">
        <v>0.9499999881</v>
      </c>
    </row>
    <row r="221">
      <c r="A221" s="3" t="s">
        <v>243</v>
      </c>
      <c r="L221" s="4">
        <v>4.8</v>
      </c>
      <c r="N221" s="4">
        <v>9.5</v>
      </c>
      <c r="R221" s="4">
        <v>57.0</v>
      </c>
    </row>
    <row r="222">
      <c r="A222" s="3" t="s">
        <v>244</v>
      </c>
      <c r="B222" s="4">
        <v>171.0</v>
      </c>
      <c r="C222" s="4">
        <v>23.0</v>
      </c>
      <c r="D222" s="4">
        <v>41.0</v>
      </c>
      <c r="E222" s="4">
        <v>0.92</v>
      </c>
      <c r="F222" s="4">
        <v>31.6</v>
      </c>
      <c r="J222" s="4">
        <v>90.2</v>
      </c>
      <c r="K222" s="4">
        <v>3.88</v>
      </c>
      <c r="L222" s="4">
        <v>6.33</v>
      </c>
      <c r="M222" s="4">
        <v>1.9</v>
      </c>
      <c r="N222" s="4">
        <v>14.5</v>
      </c>
      <c r="O222" s="4">
        <v>43.1</v>
      </c>
      <c r="P222" s="4">
        <v>6.8</v>
      </c>
      <c r="Q222" s="4">
        <v>53.0</v>
      </c>
      <c r="R222" s="4">
        <v>379.0</v>
      </c>
      <c r="S222" s="4">
        <v>4.59</v>
      </c>
    </row>
    <row r="223">
      <c r="A223" s="3" t="s">
        <v>245</v>
      </c>
      <c r="B223" s="4">
        <v>452.0</v>
      </c>
      <c r="C223" s="4">
        <v>8.0</v>
      </c>
      <c r="D223" s="4">
        <v>6.8000001907</v>
      </c>
      <c r="E223" s="4">
        <v>0.5</v>
      </c>
      <c r="F223" s="4">
        <v>29.0</v>
      </c>
      <c r="G223" s="4">
        <v>31.0</v>
      </c>
      <c r="H223" s="4">
        <v>22.0</v>
      </c>
      <c r="I223" s="4">
        <v>22.7999992371</v>
      </c>
      <c r="J223" s="4">
        <v>94.0</v>
      </c>
      <c r="K223" s="4">
        <v>3.7000000477</v>
      </c>
      <c r="L223" s="4">
        <v>55.25</v>
      </c>
      <c r="M223" s="4">
        <v>1.0</v>
      </c>
      <c r="N223" s="4">
        <v>2.0999999046</v>
      </c>
      <c r="O223" s="4">
        <v>2.0</v>
      </c>
      <c r="P223" s="4">
        <v>1.0</v>
      </c>
      <c r="Q223" s="4">
        <v>4.0</v>
      </c>
      <c r="R223" s="4">
        <v>101.0</v>
      </c>
      <c r="S223" s="4">
        <v>0.7200000286</v>
      </c>
    </row>
    <row r="224">
      <c r="A224" s="3" t="s">
        <v>246</v>
      </c>
      <c r="B224" s="4">
        <v>659.0</v>
      </c>
      <c r="C224" s="4">
        <v>14.0</v>
      </c>
      <c r="D224" s="4">
        <v>24.9</v>
      </c>
      <c r="E224" s="4">
        <v>0.59</v>
      </c>
      <c r="F224" s="4">
        <v>30.0</v>
      </c>
      <c r="G224" s="4">
        <v>34.0</v>
      </c>
      <c r="H224" s="4">
        <v>23.0</v>
      </c>
      <c r="I224" s="4">
        <v>15.9</v>
      </c>
      <c r="J224" s="4">
        <v>90.0</v>
      </c>
      <c r="K224" s="4">
        <v>4.1</v>
      </c>
      <c r="L224" s="4">
        <v>52.06</v>
      </c>
      <c r="M224" s="4">
        <v>1.0</v>
      </c>
      <c r="N224" s="4">
        <v>8.4</v>
      </c>
      <c r="O224" s="4">
        <v>7.0</v>
      </c>
      <c r="P224" s="4">
        <v>1.0</v>
      </c>
      <c r="Q224" s="4">
        <v>4.0</v>
      </c>
      <c r="R224" s="4">
        <v>44.0</v>
      </c>
      <c r="S224" s="4">
        <v>2.78</v>
      </c>
    </row>
    <row r="225">
      <c r="A225" s="3" t="s">
        <v>247</v>
      </c>
      <c r="L225" s="4">
        <v>5.0</v>
      </c>
      <c r="N225" s="4">
        <v>7.1</v>
      </c>
      <c r="R225" s="4">
        <v>85.0</v>
      </c>
    </row>
    <row r="226">
      <c r="A226" s="3" t="s">
        <v>248</v>
      </c>
      <c r="B226" s="4">
        <v>283.0</v>
      </c>
      <c r="C226" s="4">
        <v>12.0</v>
      </c>
      <c r="D226" s="4">
        <v>12.1999998093</v>
      </c>
      <c r="E226" s="4">
        <v>0.8899999857</v>
      </c>
      <c r="F226" s="4">
        <v>31.0</v>
      </c>
      <c r="G226" s="4">
        <v>34.0</v>
      </c>
      <c r="H226" s="4">
        <v>10.0</v>
      </c>
      <c r="I226" s="4">
        <v>18.1000003815</v>
      </c>
      <c r="J226" s="4">
        <v>90.0</v>
      </c>
      <c r="K226" s="4">
        <v>4.0</v>
      </c>
      <c r="L226" s="4">
        <v>60.8400001526</v>
      </c>
      <c r="M226" s="4">
        <v>0.0</v>
      </c>
      <c r="N226" s="4">
        <v>4.3000001907</v>
      </c>
      <c r="O226" s="4">
        <v>1.0</v>
      </c>
      <c r="P226" s="4">
        <v>0.0</v>
      </c>
      <c r="Q226" s="4">
        <v>0.0</v>
      </c>
      <c r="R226" s="4">
        <v>140.0</v>
      </c>
      <c r="S226" s="4">
        <v>1.5700000525</v>
      </c>
    </row>
    <row r="227">
      <c r="A227" s="3" t="s">
        <v>249</v>
      </c>
      <c r="B227" s="4">
        <v>553.0</v>
      </c>
      <c r="C227" s="4">
        <v>7.0</v>
      </c>
      <c r="D227" s="4">
        <v>31.2999992371</v>
      </c>
      <c r="E227" s="4">
        <v>0.2599999905</v>
      </c>
      <c r="F227" s="4">
        <v>29.0</v>
      </c>
      <c r="G227" s="4">
        <v>30.0</v>
      </c>
      <c r="H227" s="4">
        <v>25.0</v>
      </c>
      <c r="I227" s="4">
        <v>18.5</v>
      </c>
      <c r="J227" s="4">
        <v>94.0</v>
      </c>
      <c r="K227" s="4">
        <v>2.0999999046</v>
      </c>
      <c r="L227" s="4">
        <v>56.3199996948</v>
      </c>
      <c r="M227" s="4">
        <v>0.0</v>
      </c>
      <c r="N227" s="4">
        <v>7.3000001907</v>
      </c>
      <c r="O227" s="4">
        <v>5.0</v>
      </c>
      <c r="P227" s="4">
        <v>0.0</v>
      </c>
      <c r="Q227" s="4">
        <v>5.0</v>
      </c>
      <c r="R227" s="4">
        <v>76.0</v>
      </c>
      <c r="S227" s="4">
        <v>2.0799999237</v>
      </c>
    </row>
    <row r="228">
      <c r="A228" s="3" t="s">
        <v>250</v>
      </c>
      <c r="B228" s="4">
        <v>775.0</v>
      </c>
      <c r="D228" s="4">
        <v>34.8</v>
      </c>
      <c r="L228" s="4">
        <v>144.7</v>
      </c>
      <c r="M228" s="4">
        <v>3.0</v>
      </c>
      <c r="N228" s="4">
        <v>11.4</v>
      </c>
      <c r="O228" s="4">
        <v>4.0</v>
      </c>
      <c r="P228" s="4">
        <v>2.0</v>
      </c>
      <c r="Q228" s="4">
        <v>42.0</v>
      </c>
      <c r="R228" s="4">
        <v>969.0</v>
      </c>
      <c r="S228" s="4">
        <v>2.73</v>
      </c>
    </row>
    <row r="229">
      <c r="A229" s="3" t="s">
        <v>251</v>
      </c>
      <c r="L229" s="4">
        <v>100.0</v>
      </c>
      <c r="N229" s="4">
        <v>6.8</v>
      </c>
      <c r="R229" s="4">
        <v>133.0</v>
      </c>
    </row>
    <row r="230">
      <c r="A230" s="3" t="s">
        <v>252</v>
      </c>
      <c r="D230" s="4">
        <v>42.6</v>
      </c>
      <c r="F230" s="4">
        <v>31.0</v>
      </c>
      <c r="G230" s="4">
        <v>30.0</v>
      </c>
      <c r="I230" s="4">
        <v>17.9</v>
      </c>
      <c r="J230" s="4">
        <v>104.0</v>
      </c>
      <c r="L230" s="4">
        <v>99.68</v>
      </c>
      <c r="M230" s="4">
        <v>0.0</v>
      </c>
      <c r="N230" s="4">
        <v>12.8</v>
      </c>
      <c r="O230" s="4">
        <v>4.0</v>
      </c>
      <c r="P230" s="4">
        <v>0.0</v>
      </c>
      <c r="Q230" s="4">
        <v>74.0</v>
      </c>
      <c r="R230" s="4">
        <v>462.0</v>
      </c>
      <c r="S230" s="4">
        <v>4.08</v>
      </c>
    </row>
    <row r="231">
      <c r="A231" s="3" t="s">
        <v>253</v>
      </c>
      <c r="L231" s="4">
        <v>136.66</v>
      </c>
      <c r="N231" s="4">
        <v>7.2</v>
      </c>
      <c r="R231" s="4">
        <v>45.0</v>
      </c>
    </row>
    <row r="232">
      <c r="A232" s="3" t="s">
        <v>254</v>
      </c>
      <c r="L232" s="4">
        <v>5.07</v>
      </c>
      <c r="N232" s="4">
        <v>7.5</v>
      </c>
      <c r="R232" s="4">
        <v>80.0</v>
      </c>
    </row>
    <row r="233">
      <c r="A233" s="3" t="s">
        <v>255</v>
      </c>
      <c r="B233" s="4">
        <v>271.0</v>
      </c>
      <c r="C233" s="4">
        <v>68.0</v>
      </c>
      <c r="D233" s="4">
        <v>24.2000007629</v>
      </c>
      <c r="E233" s="4">
        <v>0.3199999928</v>
      </c>
      <c r="F233" s="4">
        <v>23.0</v>
      </c>
      <c r="G233" s="4">
        <v>32.0</v>
      </c>
      <c r="H233" s="4">
        <v>37.0</v>
      </c>
      <c r="I233" s="4">
        <v>16.1000003815</v>
      </c>
      <c r="J233" s="4">
        <v>73.0</v>
      </c>
      <c r="K233" s="4">
        <v>2.5999999046</v>
      </c>
      <c r="L233" s="4">
        <v>10.6000003815</v>
      </c>
      <c r="M233" s="4">
        <v>0.0</v>
      </c>
      <c r="N233" s="4">
        <v>7.4000000954</v>
      </c>
      <c r="O233" s="4">
        <v>76.0</v>
      </c>
      <c r="P233" s="4">
        <v>2.0</v>
      </c>
      <c r="Q233" s="4">
        <v>1.0</v>
      </c>
      <c r="R233" s="4">
        <v>131.0</v>
      </c>
      <c r="S233" s="4">
        <v>3.2400000095</v>
      </c>
    </row>
    <row r="234">
      <c r="A234" s="3" t="s">
        <v>256</v>
      </c>
      <c r="B234" s="4">
        <v>1389.0</v>
      </c>
      <c r="K234" s="4">
        <v>23.38</v>
      </c>
      <c r="L234" s="4">
        <v>38.7</v>
      </c>
      <c r="N234" s="4">
        <v>105.0</v>
      </c>
      <c r="R234" s="4">
        <v>48.0</v>
      </c>
    </row>
    <row r="235">
      <c r="A235" s="3" t="s">
        <v>257</v>
      </c>
      <c r="L235" s="4">
        <v>53.0</v>
      </c>
      <c r="N235" s="4">
        <v>5.9</v>
      </c>
      <c r="R235" s="4">
        <v>136.0</v>
      </c>
    </row>
    <row r="236">
      <c r="A236" s="3" t="s">
        <v>258</v>
      </c>
      <c r="B236" s="4">
        <v>2327.0</v>
      </c>
      <c r="C236" s="4">
        <v>10.0</v>
      </c>
      <c r="D236" s="4">
        <v>13.3999996185</v>
      </c>
      <c r="E236" s="4">
        <v>0.8199999928</v>
      </c>
      <c r="F236" s="4">
        <v>29.0</v>
      </c>
      <c r="G236" s="4">
        <v>33.0</v>
      </c>
      <c r="H236" s="4">
        <v>29.0</v>
      </c>
      <c r="I236" s="4">
        <v>19.5</v>
      </c>
      <c r="J236" s="4">
        <v>86.0</v>
      </c>
      <c r="K236" s="4">
        <v>8.3000001907</v>
      </c>
      <c r="L236" s="4">
        <v>45.4700012207</v>
      </c>
      <c r="M236" s="4">
        <v>0.0</v>
      </c>
      <c r="N236" s="4">
        <v>4.4000000954</v>
      </c>
      <c r="O236" s="4">
        <v>1.0</v>
      </c>
      <c r="P236" s="4">
        <v>1.0</v>
      </c>
      <c r="Q236" s="4">
        <v>1.0</v>
      </c>
      <c r="R236" s="4">
        <v>16.0</v>
      </c>
      <c r="S236" s="4">
        <v>1.5399999619</v>
      </c>
    </row>
    <row r="237">
      <c r="A237" s="3" t="s">
        <v>259</v>
      </c>
      <c r="B237" s="4">
        <v>1537.0</v>
      </c>
      <c r="C237" s="4">
        <v>12.0</v>
      </c>
      <c r="D237" s="4">
        <v>22.7000007629</v>
      </c>
      <c r="E237" s="4">
        <v>1.0</v>
      </c>
      <c r="F237" s="4">
        <v>34.0</v>
      </c>
      <c r="G237" s="4">
        <v>34.0</v>
      </c>
      <c r="H237" s="4">
        <v>44.0</v>
      </c>
      <c r="I237" s="4">
        <v>14.1999998093</v>
      </c>
      <c r="J237" s="4">
        <v>99.0</v>
      </c>
      <c r="K237" s="4">
        <v>9.1000003815</v>
      </c>
      <c r="L237" s="4">
        <v>48.9599990845</v>
      </c>
      <c r="M237" s="4">
        <v>1.0</v>
      </c>
      <c r="N237" s="4">
        <v>7.8000001907</v>
      </c>
      <c r="O237" s="4">
        <v>13.0</v>
      </c>
      <c r="P237" s="4">
        <v>2.0</v>
      </c>
      <c r="Q237" s="4">
        <v>9.0</v>
      </c>
      <c r="R237" s="4">
        <v>15.0</v>
      </c>
      <c r="S237" s="4">
        <v>2.2999999523</v>
      </c>
    </row>
    <row r="238">
      <c r="A238" s="3" t="s">
        <v>260</v>
      </c>
      <c r="B238" s="4">
        <v>1795.0</v>
      </c>
      <c r="C238" s="4">
        <v>49.0</v>
      </c>
      <c r="D238" s="4">
        <v>17.1000003815</v>
      </c>
      <c r="E238" s="4">
        <v>0.2700000107</v>
      </c>
      <c r="F238" s="4">
        <v>29.0</v>
      </c>
      <c r="G238" s="4">
        <v>30.0</v>
      </c>
      <c r="H238" s="4">
        <v>103.0</v>
      </c>
      <c r="I238" s="4">
        <v>24.2000007629</v>
      </c>
      <c r="J238" s="4">
        <v>99.0</v>
      </c>
      <c r="K238" s="4">
        <v>6.8000001907</v>
      </c>
      <c r="L238" s="4">
        <v>285.5400085449</v>
      </c>
      <c r="M238" s="4">
        <v>1.0</v>
      </c>
      <c r="N238" s="4">
        <v>4.9000000954</v>
      </c>
      <c r="O238" s="4">
        <v>22.0</v>
      </c>
      <c r="P238" s="4">
        <v>2.0</v>
      </c>
      <c r="Q238" s="4">
        <v>1.0</v>
      </c>
      <c r="R238" s="4">
        <v>27.0</v>
      </c>
      <c r="S238" s="4">
        <v>1.7000000477</v>
      </c>
    </row>
    <row r="239">
      <c r="A239" s="3" t="s">
        <v>261</v>
      </c>
      <c r="L239" s="4">
        <v>2.1</v>
      </c>
      <c r="N239" s="4">
        <v>5.9</v>
      </c>
      <c r="R239" s="4">
        <v>14.0</v>
      </c>
    </row>
    <row r="240">
      <c r="A240" s="3" t="s">
        <v>262</v>
      </c>
      <c r="B240" s="4">
        <v>621.0</v>
      </c>
      <c r="D240" s="4">
        <v>20.0</v>
      </c>
      <c r="E240" s="4">
        <v>0.6</v>
      </c>
      <c r="F240" s="4">
        <v>33.2</v>
      </c>
      <c r="G240" s="4">
        <v>36.9</v>
      </c>
      <c r="J240" s="4">
        <v>90.0</v>
      </c>
      <c r="L240" s="4">
        <v>447.0</v>
      </c>
      <c r="M240" s="4">
        <v>1.0</v>
      </c>
      <c r="N240" s="4">
        <v>7.5</v>
      </c>
      <c r="O240" s="4">
        <v>1.0</v>
      </c>
      <c r="P240" s="4">
        <v>0.0</v>
      </c>
      <c r="Q240" s="4">
        <v>29.0</v>
      </c>
      <c r="R240" s="4">
        <v>305.0</v>
      </c>
      <c r="S240" s="4">
        <v>2.26</v>
      </c>
    </row>
    <row r="241">
      <c r="A241" s="3" t="s">
        <v>263</v>
      </c>
    </row>
    <row r="242">
      <c r="A242" s="3" t="s">
        <v>264</v>
      </c>
      <c r="B242" s="4">
        <v>254.0</v>
      </c>
      <c r="C242" s="4">
        <v>26.0</v>
      </c>
      <c r="D242" s="4">
        <v>27.2000007629</v>
      </c>
      <c r="E242" s="4">
        <v>0.8299999833</v>
      </c>
      <c r="F242" s="4">
        <v>32.0</v>
      </c>
      <c r="G242" s="4">
        <v>37.0</v>
      </c>
      <c r="H242" s="4">
        <v>33.0</v>
      </c>
      <c r="I242" s="4">
        <v>14.6999998093</v>
      </c>
      <c r="J242" s="4">
        <v>85.0</v>
      </c>
      <c r="K242" s="4">
        <v>6.5999999046</v>
      </c>
      <c r="L242" s="4">
        <v>10.3800001144</v>
      </c>
      <c r="M242" s="4">
        <v>2.0</v>
      </c>
      <c r="N242" s="4">
        <v>10.1000003815</v>
      </c>
      <c r="O242" s="4">
        <v>14.0</v>
      </c>
      <c r="P242" s="4">
        <v>1.0</v>
      </c>
      <c r="Q242" s="4">
        <v>2.0</v>
      </c>
      <c r="R242" s="4">
        <v>31.0</v>
      </c>
      <c r="S242" s="4">
        <v>3.1900000572</v>
      </c>
    </row>
    <row r="243">
      <c r="A243" s="3" t="s">
        <v>265</v>
      </c>
      <c r="L243" s="4">
        <v>114.15</v>
      </c>
      <c r="N243" s="4">
        <v>7.7</v>
      </c>
      <c r="R243" s="4">
        <v>56.0</v>
      </c>
    </row>
    <row r="244">
      <c r="A244" s="3" t="s">
        <v>266</v>
      </c>
      <c r="L244" s="4">
        <v>4.5</v>
      </c>
      <c r="N244" s="4">
        <v>10.9</v>
      </c>
      <c r="R244" s="4">
        <v>270.0</v>
      </c>
    </row>
    <row r="245">
      <c r="A245" s="3" t="s">
        <v>267</v>
      </c>
      <c r="B245" s="4">
        <v>496.0</v>
      </c>
      <c r="C245" s="4">
        <v>7.0</v>
      </c>
      <c r="D245" s="4">
        <v>16.2000007629</v>
      </c>
      <c r="E245" s="4">
        <v>0.3899999857</v>
      </c>
      <c r="F245" s="4">
        <v>27.0</v>
      </c>
      <c r="G245" s="4">
        <v>31.0</v>
      </c>
      <c r="H245" s="4">
        <v>35.0</v>
      </c>
      <c r="I245" s="4">
        <v>13.6000003815</v>
      </c>
      <c r="J245" s="4">
        <v>85.0</v>
      </c>
      <c r="K245" s="4">
        <v>5.1999998093</v>
      </c>
      <c r="L245" s="4">
        <v>82.0999984741</v>
      </c>
      <c r="M245" s="4">
        <v>0.0</v>
      </c>
      <c r="N245" s="4">
        <v>6.1999998093</v>
      </c>
      <c r="O245" s="4">
        <v>6.0</v>
      </c>
      <c r="P245" s="4">
        <v>0.0</v>
      </c>
      <c r="Q245" s="4">
        <v>0.0</v>
      </c>
      <c r="R245" s="4">
        <v>93.0</v>
      </c>
      <c r="S245" s="4">
        <v>1.8999999762</v>
      </c>
    </row>
    <row r="246">
      <c r="A246" s="3" t="s">
        <v>268</v>
      </c>
      <c r="B246" s="4">
        <v>759.0</v>
      </c>
      <c r="K246" s="4">
        <v>13.0</v>
      </c>
      <c r="L246" s="4">
        <v>1.3</v>
      </c>
      <c r="N246" s="4">
        <v>4.0</v>
      </c>
      <c r="R246" s="4">
        <v>12.0</v>
      </c>
    </row>
    <row r="247">
      <c r="A247" s="3" t="s">
        <v>269</v>
      </c>
      <c r="B247" s="4">
        <v>6687.0</v>
      </c>
      <c r="C247" s="4">
        <v>36.0</v>
      </c>
      <c r="D247" s="4">
        <v>25.2999992371</v>
      </c>
      <c r="E247" s="4">
        <v>0.6200000048</v>
      </c>
      <c r="F247" s="4">
        <v>26.0</v>
      </c>
      <c r="G247" s="4">
        <v>36.0</v>
      </c>
      <c r="H247" s="4">
        <v>236.0</v>
      </c>
      <c r="I247" s="4">
        <v>15.8000001907</v>
      </c>
      <c r="J247" s="4">
        <v>72.0</v>
      </c>
      <c r="K247" s="4">
        <v>14.1000003815</v>
      </c>
      <c r="L247" s="4">
        <v>406.25</v>
      </c>
      <c r="M247" s="4">
        <v>1.0</v>
      </c>
      <c r="N247" s="4">
        <v>8.8000001907</v>
      </c>
      <c r="O247" s="4">
        <v>2.0</v>
      </c>
      <c r="P247" s="4">
        <v>1.0</v>
      </c>
      <c r="Q247" s="4">
        <v>2.0</v>
      </c>
      <c r="R247" s="4">
        <v>22.0</v>
      </c>
      <c r="S247" s="4">
        <v>3.4800000191</v>
      </c>
    </row>
    <row r="248">
      <c r="A248" s="3" t="s">
        <v>270</v>
      </c>
      <c r="K248" s="4">
        <v>2.6</v>
      </c>
      <c r="L248" s="4">
        <v>7.9</v>
      </c>
      <c r="N248" s="4">
        <v>6.2</v>
      </c>
      <c r="R248" s="4">
        <v>55.0</v>
      </c>
    </row>
    <row r="249">
      <c r="A249" s="3" t="s">
        <v>271</v>
      </c>
      <c r="B249" s="4">
        <v>3260.0</v>
      </c>
      <c r="C249" s="4">
        <v>18.0</v>
      </c>
      <c r="D249" s="4">
        <v>26.8999996185</v>
      </c>
      <c r="E249" s="4">
        <v>0.349999994</v>
      </c>
      <c r="F249" s="4">
        <v>28.0</v>
      </c>
      <c r="G249" s="4">
        <v>34.0</v>
      </c>
      <c r="H249" s="4">
        <v>84.0</v>
      </c>
      <c r="I249" s="4">
        <v>13.1000003815</v>
      </c>
      <c r="J249" s="4">
        <v>84.0</v>
      </c>
      <c r="K249" s="4">
        <v>5.6999998093</v>
      </c>
      <c r="L249" s="4">
        <v>68.1299972534</v>
      </c>
      <c r="M249" s="4">
        <v>1.0</v>
      </c>
      <c r="N249" s="4">
        <v>9.0</v>
      </c>
      <c r="O249" s="4">
        <v>11.0</v>
      </c>
      <c r="P249" s="4">
        <v>1.0</v>
      </c>
      <c r="Q249" s="4">
        <v>3.0</v>
      </c>
      <c r="R249" s="4">
        <v>42.0</v>
      </c>
      <c r="S249" s="4">
        <v>3.2200000286</v>
      </c>
    </row>
    <row r="250">
      <c r="A250" s="3" t="s">
        <v>272</v>
      </c>
      <c r="C250" s="4">
        <v>19.0</v>
      </c>
      <c r="D250" s="4">
        <v>17.5</v>
      </c>
      <c r="E250" s="4">
        <v>0.6</v>
      </c>
      <c r="F250" s="4">
        <v>32.0</v>
      </c>
      <c r="G250" s="4">
        <v>36.6</v>
      </c>
      <c r="H250" s="4">
        <v>48.0</v>
      </c>
      <c r="J250" s="4">
        <v>87.5</v>
      </c>
      <c r="K250" s="4">
        <v>13.0</v>
      </c>
      <c r="L250" s="4">
        <v>629.0</v>
      </c>
      <c r="M250" s="4">
        <v>20.0</v>
      </c>
      <c r="N250" s="4">
        <v>6.4</v>
      </c>
      <c r="O250" s="4">
        <v>2.0</v>
      </c>
      <c r="P250" s="4">
        <v>4.0</v>
      </c>
      <c r="Q250" s="4">
        <v>16.0</v>
      </c>
      <c r="R250" s="4">
        <v>361.0</v>
      </c>
      <c r="S250" s="4">
        <v>2.0</v>
      </c>
    </row>
    <row r="251">
      <c r="A251" s="3" t="s">
        <v>273</v>
      </c>
      <c r="B251" s="4">
        <v>185.0</v>
      </c>
      <c r="K251" s="4">
        <v>4.6</v>
      </c>
      <c r="L251" s="4">
        <v>2.1</v>
      </c>
      <c r="N251" s="4">
        <v>7.1</v>
      </c>
      <c r="R251" s="4">
        <v>68.0</v>
      </c>
    </row>
    <row r="252">
      <c r="A252" s="3" t="s">
        <v>274</v>
      </c>
      <c r="B252" s="4">
        <v>245.0</v>
      </c>
      <c r="K252" s="4">
        <v>3.8</v>
      </c>
      <c r="L252" s="4">
        <v>3.8</v>
      </c>
      <c r="N252" s="4">
        <v>7.7</v>
      </c>
      <c r="R252" s="4">
        <v>210.0</v>
      </c>
    </row>
    <row r="253">
      <c r="A253" s="3" t="s">
        <v>275</v>
      </c>
      <c r="B253" s="4">
        <v>704.0</v>
      </c>
      <c r="C253" s="4">
        <v>14.0</v>
      </c>
      <c r="D253" s="4">
        <v>28.6000003815</v>
      </c>
      <c r="E253" s="4">
        <v>0.2399999946</v>
      </c>
      <c r="F253" s="4">
        <v>28.0</v>
      </c>
      <c r="G253" s="4">
        <v>36.0</v>
      </c>
      <c r="H253" s="4">
        <v>71.0</v>
      </c>
      <c r="I253" s="4">
        <v>13.8999996185</v>
      </c>
      <c r="J253" s="4">
        <v>79.0</v>
      </c>
      <c r="K253" s="4">
        <v>3.5</v>
      </c>
      <c r="L253" s="4">
        <v>13.5</v>
      </c>
      <c r="M253" s="4">
        <v>1.0</v>
      </c>
      <c r="N253" s="4">
        <v>10.1999998093</v>
      </c>
      <c r="O253" s="4">
        <v>25.0</v>
      </c>
      <c r="P253" s="4">
        <v>6.0</v>
      </c>
      <c r="Q253" s="4">
        <v>46.0</v>
      </c>
      <c r="R253" s="4">
        <v>175.0</v>
      </c>
      <c r="S253" s="4">
        <v>3.6099998951</v>
      </c>
    </row>
    <row r="254">
      <c r="A254" s="3" t="s">
        <v>276</v>
      </c>
      <c r="B254" s="4">
        <v>10526.0</v>
      </c>
      <c r="C254" s="4">
        <v>11.0</v>
      </c>
      <c r="D254" s="4">
        <v>29.3999996185</v>
      </c>
      <c r="E254" s="4">
        <v>0.9399999976</v>
      </c>
      <c r="F254" s="4">
        <v>28.0</v>
      </c>
      <c r="G254" s="4">
        <v>33.0</v>
      </c>
      <c r="H254" s="4">
        <v>218.0</v>
      </c>
      <c r="I254" s="4">
        <v>14.8000001907</v>
      </c>
      <c r="J254" s="4">
        <v>86.0</v>
      </c>
      <c r="K254" s="4">
        <v>12.1000003815</v>
      </c>
      <c r="L254" s="4">
        <v>49.2400016785</v>
      </c>
      <c r="M254" s="4">
        <v>1.0</v>
      </c>
      <c r="N254" s="4">
        <v>8.8999996185</v>
      </c>
      <c r="O254" s="4">
        <v>37.0</v>
      </c>
      <c r="P254" s="4">
        <v>0.0</v>
      </c>
      <c r="Q254" s="4">
        <v>3.0</v>
      </c>
      <c r="R254" s="4">
        <v>26.0</v>
      </c>
      <c r="S254" s="4">
        <v>3.6199998856</v>
      </c>
    </row>
    <row r="255">
      <c r="A255" s="3" t="s">
        <v>277</v>
      </c>
      <c r="L255" s="4">
        <v>13.61</v>
      </c>
      <c r="N255" s="4">
        <v>11.3</v>
      </c>
      <c r="R255" s="4">
        <v>108.0</v>
      </c>
    </row>
    <row r="256">
      <c r="A256" s="3" t="s">
        <v>278</v>
      </c>
      <c r="B256" s="4">
        <v>951.0</v>
      </c>
      <c r="C256" s="4">
        <v>7.0</v>
      </c>
      <c r="D256" s="4">
        <v>26.2999992371</v>
      </c>
      <c r="E256" s="4">
        <v>5.1599998474</v>
      </c>
      <c r="F256" s="4">
        <v>29.0</v>
      </c>
      <c r="G256" s="4">
        <v>32.0</v>
      </c>
      <c r="H256" s="4">
        <v>33.0</v>
      </c>
      <c r="I256" s="4">
        <v>18.0</v>
      </c>
      <c r="J256" s="4">
        <v>91.0</v>
      </c>
      <c r="K256" s="4">
        <v>44.7999992371</v>
      </c>
      <c r="L256" s="4">
        <v>10.8400001526</v>
      </c>
      <c r="M256" s="4">
        <v>0.0</v>
      </c>
      <c r="N256" s="4">
        <v>7.9000000954</v>
      </c>
      <c r="O256" s="4">
        <v>7.0</v>
      </c>
      <c r="P256" s="4">
        <v>3.0</v>
      </c>
      <c r="Q256" s="4">
        <v>18.0</v>
      </c>
      <c r="R256" s="4">
        <v>38.0</v>
      </c>
      <c r="S256" s="4">
        <v>2.9000000954</v>
      </c>
    </row>
    <row r="257">
      <c r="A257" s="3" t="s">
        <v>279</v>
      </c>
      <c r="B257" s="4">
        <v>914.0</v>
      </c>
      <c r="C257" s="4">
        <v>29.0</v>
      </c>
      <c r="D257" s="4">
        <v>16.2000007629</v>
      </c>
      <c r="E257" s="4">
        <v>0.3700000048</v>
      </c>
      <c r="F257" s="4">
        <v>27.0</v>
      </c>
      <c r="G257" s="4">
        <v>34.0</v>
      </c>
      <c r="H257" s="4">
        <v>68.0</v>
      </c>
      <c r="I257" s="4">
        <v>22.2999992371</v>
      </c>
      <c r="J257" s="4">
        <v>86.0</v>
      </c>
      <c r="K257" s="4">
        <v>2.5999999046</v>
      </c>
      <c r="L257" s="4">
        <v>8.3000001907</v>
      </c>
      <c r="M257" s="4">
        <v>0.0</v>
      </c>
      <c r="N257" s="4">
        <v>5.0999999046</v>
      </c>
      <c r="O257" s="4">
        <v>46.0</v>
      </c>
      <c r="P257" s="4">
        <v>0.0</v>
      </c>
      <c r="Q257" s="4">
        <v>9.0</v>
      </c>
      <c r="R257" s="4">
        <v>137.0</v>
      </c>
      <c r="S257" s="4">
        <v>1.7400000095</v>
      </c>
    </row>
    <row r="258">
      <c r="A258" s="3" t="s">
        <v>280</v>
      </c>
      <c r="B258" s="4">
        <v>674.0</v>
      </c>
      <c r="K258" s="4">
        <v>4.6</v>
      </c>
      <c r="L258" s="4">
        <v>4.6</v>
      </c>
      <c r="N258" s="4">
        <v>6.2</v>
      </c>
      <c r="R258" s="4">
        <v>27.0</v>
      </c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77.25"/>
  </cols>
  <sheetData>
    <row r="1">
      <c r="A1" s="6" t="s">
        <v>281</v>
      </c>
      <c r="B1" s="7" t="s">
        <v>282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9" t="s">
        <v>1</v>
      </c>
      <c r="B2" s="5" t="s">
        <v>283</v>
      </c>
    </row>
    <row r="3">
      <c r="A3" s="9" t="s">
        <v>2</v>
      </c>
      <c r="B3" s="5" t="s">
        <v>284</v>
      </c>
    </row>
    <row r="4">
      <c r="A4" s="9" t="s">
        <v>3</v>
      </c>
      <c r="B4" s="5" t="s">
        <v>285</v>
      </c>
    </row>
    <row r="5">
      <c r="A5" s="9" t="s">
        <v>4</v>
      </c>
      <c r="B5" s="5" t="s">
        <v>286</v>
      </c>
    </row>
    <row r="6">
      <c r="A6" s="9" t="s">
        <v>5</v>
      </c>
      <c r="B6" s="5" t="s">
        <v>287</v>
      </c>
    </row>
    <row r="7">
      <c r="A7" s="9" t="s">
        <v>6</v>
      </c>
      <c r="B7" s="5" t="s">
        <v>288</v>
      </c>
    </row>
    <row r="8">
      <c r="A8" s="9" t="s">
        <v>7</v>
      </c>
      <c r="B8" s="5" t="s">
        <v>289</v>
      </c>
    </row>
    <row r="9">
      <c r="A9" s="9" t="s">
        <v>8</v>
      </c>
      <c r="B9" s="5" t="s">
        <v>290</v>
      </c>
    </row>
    <row r="10">
      <c r="A10" s="9" t="s">
        <v>9</v>
      </c>
      <c r="B10" s="5" t="s">
        <v>291</v>
      </c>
    </row>
    <row r="11">
      <c r="A11" s="9" t="s">
        <v>10</v>
      </c>
      <c r="B11" s="5" t="s">
        <v>292</v>
      </c>
    </row>
    <row r="12">
      <c r="A12" s="9" t="s">
        <v>11</v>
      </c>
      <c r="B12" s="5" t="s">
        <v>293</v>
      </c>
    </row>
    <row r="13">
      <c r="A13" s="9" t="s">
        <v>12</v>
      </c>
      <c r="B13" s="5" t="s">
        <v>294</v>
      </c>
    </row>
    <row r="14">
      <c r="A14" s="9" t="s">
        <v>13</v>
      </c>
      <c r="B14" s="5" t="s">
        <v>295</v>
      </c>
    </row>
    <row r="15">
      <c r="A15" s="9" t="s">
        <v>14</v>
      </c>
      <c r="B15" s="5" t="s">
        <v>296</v>
      </c>
    </row>
    <row r="16">
      <c r="A16" s="9" t="s">
        <v>15</v>
      </c>
      <c r="B16" s="5" t="s">
        <v>297</v>
      </c>
    </row>
    <row r="17">
      <c r="A17" s="9" t="s">
        <v>16</v>
      </c>
      <c r="B17" s="5" t="s">
        <v>298</v>
      </c>
    </row>
    <row r="18">
      <c r="A18" s="9" t="s">
        <v>17</v>
      </c>
      <c r="B18" s="5" t="s">
        <v>299</v>
      </c>
    </row>
    <row r="19">
      <c r="A19" s="9" t="s">
        <v>18</v>
      </c>
      <c r="B19" s="5" t="s">
        <v>300</v>
      </c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0"/>
    <col customWidth="1" min="2" max="2" width="69.88"/>
  </cols>
  <sheetData>
    <row r="1">
      <c r="A1" s="10" t="s">
        <v>281</v>
      </c>
      <c r="B1" s="10" t="s">
        <v>282</v>
      </c>
    </row>
    <row r="2">
      <c r="A2" s="9" t="str">
        <f>IFERROR(__xludf.DUMMYFUNCTION("REGEXREPLACE(REGEXREPLACE(LOWER(original_dictionary!B2),""[ .]"",""_""),""/"",""_over_"")"),"lactate_dehydrogenase")</f>
        <v>lactate_dehydrogenase</v>
      </c>
      <c r="B2" s="5" t="str">
        <f>concat("LOINC:",concat(original_dictionary!A2,concat(" COMPONENT: ",concat(original_dictionary!B2,concat(" DISPLAY_NAME: ",original_dictionary!C2)))))</f>
        <v>LOINC:14804-9 COMPONENT: Lactate dehydrogenase DISPLAY_NAME: LDH Lactate to pyruvate reaction</v>
      </c>
    </row>
    <row r="3">
      <c r="A3" s="9" t="str">
        <f>IFERROR(__xludf.DUMMYFUNCTION("REGEXREPLACE(REGEXREPLACE(LOWER(original_dictionary!B3),""[ .]"",""_""),""/"",""_over_"")"),"alanine_aminotransferase")</f>
        <v>alanine_aminotransferase</v>
      </c>
      <c r="B3" s="5" t="str">
        <f>concat("LOINC:",concat(original_dictionary!A3,concat(" COMPONENT: ",concat(original_dictionary!B3,concat(" DISPLAY_NAME: ",original_dictionary!C3)))))</f>
        <v>LOINC:1743-4 COMPONENT: Alanine aminotransferase DISPLAY_NAME: ALT With P-5'-P [Catalytic activity/Vol]</v>
      </c>
    </row>
    <row r="4">
      <c r="A4" s="9" t="str">
        <f>IFERROR(__xludf.DUMMYFUNCTION("REGEXREPLACE(REGEXREPLACE(LOWER(original_dictionary!B4),""[ .]"",""_""),""/"",""_over_"")"),"hematocrit")</f>
        <v>hematocrit</v>
      </c>
      <c r="B4" s="5" t="str">
        <f>concat("LOINC:",concat(original_dictionary!A4,concat(" COMPONENT: ",concat(original_dictionary!B4,concat(" DISPLAY_NAME: ",original_dictionary!C4)))))</f>
        <v>LOINC:20570-8 COMPONENT: Hematocrit DISPLAY_NAME: Hematocrit (Bld) [Volume fraction]</v>
      </c>
    </row>
    <row r="5">
      <c r="A5" s="9" t="str">
        <f>IFERROR(__xludf.DUMMYFUNCTION("REGEXREPLACE(REGEXREPLACE(LOWER(original_dictionary!B5),""[ .]"",""_""),""/"",""_over_"")"),"creatinine")</f>
        <v>creatinine</v>
      </c>
      <c r="B5" s="5" t="str">
        <f>concat("LOINC:",concat(original_dictionary!A5,concat(" COMPONENT: ",concat(original_dictionary!B5,concat(" DISPLAY_NAME: ",original_dictionary!C5)))))</f>
        <v>LOINC:2160-0 COMPONENT: Creatinine DISPLAY_NAME: Creatinine [Mass/Vol]</v>
      </c>
    </row>
    <row r="6">
      <c r="A6" s="9" t="str">
        <f>IFERROR(__xludf.DUMMYFUNCTION("REGEXREPLACE(REGEXREPLACE(LOWER(original_dictionary!B6),""[ .]"",""_""),""/"",""_over_"")"),"erythrocyte_mean_corpuscular_hemoglobin")</f>
        <v>erythrocyte_mean_corpuscular_hemoglobin</v>
      </c>
      <c r="B6" s="5" t="str">
        <f>concat("LOINC:",concat(original_dictionary!A6,concat(" COMPONENT: ",concat(original_dictionary!B6,concat(" DISPLAY_NAME: ",original_dictionary!C6)))))</f>
        <v>LOINC:28539-5 COMPONENT: Erythrocyte mean corpuscular hemoglobin DISPLAY_NAME: MCH (RBC) [Entitic mass]</v>
      </c>
    </row>
    <row r="7">
      <c r="A7" s="9" t="str">
        <f>IFERROR(__xludf.DUMMYFUNCTION("REGEXREPLACE(REGEXREPLACE(LOWER(original_dictionary!B7),""[ .]"",""_""),""/"",""_over_"")"),"erythrocyte_mean_corpuscular_hemoglobin_concentration")</f>
        <v>erythrocyte_mean_corpuscular_hemoglobin_concentration</v>
      </c>
      <c r="B7" s="5" t="str">
        <f>concat("LOINC:",concat(original_dictionary!A7,concat(" COMPONENT: ",concat(original_dictionary!B7,concat(" DISPLAY_NAME: ",original_dictionary!C7)))))</f>
        <v>LOINC:28540-3 COMPONENT: Erythrocyte mean corpuscular hemoglobin concentration DISPLAY_NAME: MCHC (RBC) [Mass/Vol]</v>
      </c>
    </row>
    <row r="8">
      <c r="A8" s="9" t="str">
        <f>IFERROR(__xludf.DUMMYFUNCTION("REGEXREPLACE(REGEXREPLACE(LOWER(original_dictionary!B8),""[ .]"",""_""),""/"",""_over_"")"),"aspartate_aminotransferase")</f>
        <v>aspartate_aminotransferase</v>
      </c>
      <c r="B8" s="5" t="str">
        <f>concat("LOINC:",concat(original_dictionary!A8,concat(" COMPONENT: ",concat(original_dictionary!B8,concat(" DISPLAY_NAME: ",original_dictionary!C8)))))</f>
        <v>LOINC:30239-8 COMPONENT: Aspartate aminotransferase DISPLAY_NAME: AST With P-5'-P [Catalytic activity/Vol]</v>
      </c>
    </row>
    <row r="9">
      <c r="A9" s="9" t="str">
        <f>IFERROR(__xludf.DUMMYFUNCTION("REGEXREPLACE(REGEXREPLACE(LOWER(original_dictionary!B9),""[ .]"",""_""),""/"",""_over_"")"),"erythrocyte_distribution_width")</f>
        <v>erythrocyte_distribution_width</v>
      </c>
      <c r="B9" s="5" t="str">
        <f>concat("LOINC:",concat(original_dictionary!A9,concat(" COMPONENT: ",concat(original_dictionary!B9,concat(" DISPLAY_NAME: ",original_dictionary!C9)))))</f>
        <v>LOINC:30385-9 COMPONENT: Erythrocyte distribution width DISPLAY_NAME: Erythrocyte distribution width (RBC) [Ratio]</v>
      </c>
    </row>
    <row r="10">
      <c r="A10" s="9" t="str">
        <f>IFERROR(__xludf.DUMMYFUNCTION("REGEXREPLACE(REGEXREPLACE(LOWER(original_dictionary!B10),""[ .]"",""_""),""/"",""_over_"")"),"erythrocyte_mean_corpuscular_volume")</f>
        <v>erythrocyte_mean_corpuscular_volume</v>
      </c>
      <c r="B10" s="5" t="str">
        <f>concat("LOINC:",concat(original_dictionary!A10,concat(" COMPONENT: ",concat(original_dictionary!B10,concat(" DISPLAY_NAME: ",original_dictionary!C10)))))</f>
        <v>LOINC:30428-7 COMPONENT: Erythrocyte mean corpuscular volume DISPLAY_NAME: MCV (RBC) [Entitic vol]</v>
      </c>
    </row>
    <row r="11">
      <c r="A11" s="9" t="str">
        <f>IFERROR(__xludf.DUMMYFUNCTION("REGEXREPLACE(REGEXREPLACE(LOWER(original_dictionary!B11),""[ .]"",""_""),""/"",""_over_"")"),"urate")</f>
        <v>urate</v>
      </c>
      <c r="B11" s="5" t="str">
        <f>concat("LOINC:",concat(original_dictionary!A11,concat(" COMPONENT: ",concat(original_dictionary!B11,concat(" DISPLAY_NAME: ",original_dictionary!C11)))))</f>
        <v>LOINC:3084-1 COMPONENT: Urate DISPLAY_NAME: Urate [Mass/Vol]</v>
      </c>
    </row>
    <row r="12">
      <c r="A12" s="9" t="str">
        <f>IFERROR(__xludf.DUMMYFUNCTION("REGEXREPLACE(REGEXREPLACE(LOWER(original_dictionary!B12),""[ .]"",""_""),""/"",""_over_"")"),"leukocytes")</f>
        <v>leukocytes</v>
      </c>
      <c r="B12" s="5" t="str">
        <f>concat("LOINC:",concat(original_dictionary!A12,concat(" COMPONENT: ",concat(original_dictionary!B12,concat(" DISPLAY_NAME: ",original_dictionary!C12)))))</f>
        <v>LOINC:6690-2 COMPONENT: Leukocytes DISPLAY_NAME: WBC Auto (Bld) [#/Vol]</v>
      </c>
    </row>
    <row r="13">
      <c r="A13" s="9" t="str">
        <f>IFERROR(__xludf.DUMMYFUNCTION("REGEXREPLACE(REGEXREPLACE(LOWER(original_dictionary!B13),""[ .]"",""_""),""/"",""_over_"")"),"eosinophils_over_100_leukocytes")</f>
        <v>eosinophils_over_100_leukocytes</v>
      </c>
      <c r="B13" s="5" t="str">
        <f>concat("LOINC:",concat(original_dictionary!A13,concat(" COMPONENT: ",concat(original_dictionary!B13,concat(" DISPLAY_NAME: ",original_dictionary!C13)))))</f>
        <v>LOINC:714-6 COMPONENT: Eosinophils/100 leukocytes DISPLAY_NAME: Eosinophils/100 WBC Manual cnt (Bld)</v>
      </c>
    </row>
    <row r="14">
      <c r="A14" s="9" t="str">
        <f>IFERROR(__xludf.DUMMYFUNCTION("REGEXREPLACE(REGEXREPLACE(LOWER(original_dictionary!B14),""[ .]"",""_""),""/"",""_over_"")"),"hemoglobin")</f>
        <v>hemoglobin</v>
      </c>
      <c r="B14" s="5" t="str">
        <f>concat("LOINC:",concat(original_dictionary!A14,concat(" COMPONENT: ",concat(original_dictionary!B14,concat(" DISPLAY_NAME: ",original_dictionary!C14)))))</f>
        <v>LOINC:718-7 COMPONENT: Hemoglobin DISPLAY_NAME: Hemoglobin (Bld) [Mass/Vol]</v>
      </c>
    </row>
    <row r="15">
      <c r="A15" s="9" t="str">
        <f>IFERROR(__xludf.DUMMYFUNCTION("REGEXREPLACE(REGEXREPLACE(LOWER(original_dictionary!B15),""[ .]"",""_""),""/"",""_over_"")"),"lymphocytes_over_100_leukocytes")</f>
        <v>lymphocytes_over_100_leukocytes</v>
      </c>
      <c r="B15" s="5" t="str">
        <f>concat("LOINC:",concat(original_dictionary!A15,concat(" COMPONENT: ",concat(original_dictionary!B15,concat(" DISPLAY_NAME: ",original_dictionary!C15)))))</f>
        <v>LOINC:737-7 COMPONENT: Lymphocytes/100 leukocytes DISPLAY_NAME: Lymphocytes/100 WBC Manual cnt (Bld)</v>
      </c>
    </row>
    <row r="16">
      <c r="A16" s="9" t="str">
        <f>IFERROR(__xludf.DUMMYFUNCTION("REGEXREPLACE(REGEXREPLACE(LOWER(original_dictionary!B16),""[ .]"",""_""),""/"",""_over_"")"),"monocytes_over_100_leukocytes")</f>
        <v>monocytes_over_100_leukocytes</v>
      </c>
      <c r="B16" s="5" t="str">
        <f>concat("LOINC:",concat(original_dictionary!A16,concat(" COMPONENT: ",concat(original_dictionary!B16,concat(" DISPLAY_NAME: ",original_dictionary!C16)))))</f>
        <v>LOINC:744-3 COMPONENT: Monocytes/100 leukocytes DISPLAY_NAME: Monocytes/100 WBC Manual cnt (Bld)</v>
      </c>
    </row>
    <row r="17">
      <c r="A17" s="9" t="str">
        <f>IFERROR(__xludf.DUMMYFUNCTION("REGEXREPLACE(REGEXREPLACE(LOWER(original_dictionary!B17),""[ .]"",""_""),""/"",""_over_"")"),"neutrophils_segmented_over_100_leukocytes")</f>
        <v>neutrophils_segmented_over_100_leukocytes</v>
      </c>
      <c r="B17" s="5" t="str">
        <f>concat("LOINC:",concat(original_dictionary!A17,concat(" COMPONENT: ",concat(original_dictionary!B17,concat(" DISPLAY_NAME: ",original_dictionary!C17)))))</f>
        <v>LOINC:769-0 COMPONENT: Neutrophils.segmented/100 leukocytes DISPLAY_NAME: Segmented neutrophils/100 WBC Manual cnt (Bld)</v>
      </c>
    </row>
    <row r="18">
      <c r="A18" s="9" t="str">
        <f>IFERROR(__xludf.DUMMYFUNCTION("REGEXREPLACE(REGEXREPLACE(LOWER(original_dictionary!B18),""[ .]"",""_""),""/"",""_over_"")"),"platelets")</f>
        <v>platelets</v>
      </c>
      <c r="B18" s="5" t="str">
        <f>concat("LOINC:",concat(original_dictionary!A18,concat(" COMPONENT: ",concat(original_dictionary!B18,concat(" DISPLAY_NAME: ",original_dictionary!C18)))))</f>
        <v>LOINC:777-3 COMPONENT: Platelets DISPLAY_NAME: Platelets Auto (Bld) [#/Vol]</v>
      </c>
    </row>
    <row r="19">
      <c r="A19" s="9" t="str">
        <f>IFERROR(__xludf.DUMMYFUNCTION("REGEXREPLACE(REGEXREPLACE(LOWER(original_dictionary!B19),""[ .]"",""_""),""/"",""_over_"")"),"erythrocytes")</f>
        <v>erythrocytes</v>
      </c>
      <c r="B19" s="5" t="str">
        <f>concat("LOINC:",concat(original_dictionary!A19,concat(" COMPONENT: ",concat(original_dictionary!B19,concat(" DISPLAY_NAME: ",original_dictionary!C19)))))</f>
        <v>LOINC:789-8 COMPONENT: Erythrocytes DISPLAY_NAME: RBC Auto (Bld) [#/Vol]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43.63"/>
    <col customWidth="1" min="4" max="4" width="45.88"/>
    <col customWidth="1" min="5" max="5" width="110.38"/>
  </cols>
  <sheetData>
    <row r="1">
      <c r="A1" s="11" t="s">
        <v>301</v>
      </c>
      <c r="B1" s="10" t="s">
        <v>302</v>
      </c>
      <c r="C1" s="10" t="s">
        <v>303</v>
      </c>
    </row>
    <row r="2">
      <c r="A2" s="12" t="s">
        <v>304</v>
      </c>
      <c r="B2" s="13" t="s">
        <v>305</v>
      </c>
      <c r="C2" s="13" t="s">
        <v>306</v>
      </c>
    </row>
    <row r="3">
      <c r="A3" s="12" t="s">
        <v>307</v>
      </c>
      <c r="B3" s="13" t="s">
        <v>308</v>
      </c>
      <c r="C3" s="13" t="s">
        <v>309</v>
      </c>
    </row>
    <row r="4">
      <c r="A4" s="12" t="s">
        <v>310</v>
      </c>
      <c r="B4" s="13" t="s">
        <v>311</v>
      </c>
      <c r="C4" s="13" t="s">
        <v>312</v>
      </c>
    </row>
    <row r="5">
      <c r="A5" s="12" t="s">
        <v>313</v>
      </c>
      <c r="B5" s="13" t="s">
        <v>314</v>
      </c>
      <c r="C5" s="13" t="s">
        <v>315</v>
      </c>
    </row>
    <row r="6">
      <c r="A6" s="12" t="s">
        <v>316</v>
      </c>
      <c r="B6" s="13" t="s">
        <v>317</v>
      </c>
      <c r="C6" s="13" t="s">
        <v>318</v>
      </c>
    </row>
    <row r="7">
      <c r="A7" s="12" t="s">
        <v>319</v>
      </c>
      <c r="B7" s="13" t="s">
        <v>320</v>
      </c>
      <c r="C7" s="13" t="s">
        <v>321</v>
      </c>
    </row>
    <row r="8">
      <c r="A8" s="12" t="s">
        <v>322</v>
      </c>
      <c r="B8" s="13" t="s">
        <v>323</v>
      </c>
      <c r="C8" s="13" t="s">
        <v>324</v>
      </c>
    </row>
    <row r="9">
      <c r="A9" s="12" t="s">
        <v>325</v>
      </c>
      <c r="B9" s="13" t="s">
        <v>326</v>
      </c>
      <c r="C9" s="13" t="s">
        <v>327</v>
      </c>
    </row>
    <row r="10">
      <c r="A10" s="12" t="s">
        <v>328</v>
      </c>
      <c r="B10" s="13" t="s">
        <v>329</v>
      </c>
      <c r="C10" s="13" t="s">
        <v>330</v>
      </c>
    </row>
    <row r="11">
      <c r="A11" s="12" t="s">
        <v>331</v>
      </c>
      <c r="B11" s="13" t="s">
        <v>332</v>
      </c>
      <c r="C11" s="13" t="s">
        <v>333</v>
      </c>
    </row>
    <row r="12">
      <c r="A12" s="12" t="s">
        <v>334</v>
      </c>
      <c r="B12" s="13" t="s">
        <v>335</v>
      </c>
      <c r="C12" s="13" t="s">
        <v>336</v>
      </c>
    </row>
    <row r="13">
      <c r="A13" s="12" t="s">
        <v>337</v>
      </c>
      <c r="B13" s="13" t="s">
        <v>338</v>
      </c>
      <c r="C13" s="13" t="s">
        <v>339</v>
      </c>
    </row>
    <row r="14">
      <c r="A14" s="12" t="s">
        <v>340</v>
      </c>
      <c r="B14" s="13" t="s">
        <v>341</v>
      </c>
      <c r="C14" s="13" t="s">
        <v>342</v>
      </c>
    </row>
    <row r="15">
      <c r="A15" s="12" t="s">
        <v>343</v>
      </c>
      <c r="B15" s="13" t="s">
        <v>344</v>
      </c>
      <c r="C15" s="13" t="s">
        <v>345</v>
      </c>
    </row>
    <row r="16">
      <c r="A16" s="12" t="s">
        <v>346</v>
      </c>
      <c r="B16" s="13" t="s">
        <v>347</v>
      </c>
      <c r="C16" s="13" t="s">
        <v>348</v>
      </c>
    </row>
    <row r="17">
      <c r="A17" s="12" t="s">
        <v>349</v>
      </c>
      <c r="B17" s="13" t="s">
        <v>350</v>
      </c>
      <c r="C17" s="13" t="s">
        <v>351</v>
      </c>
    </row>
    <row r="18">
      <c r="A18" s="12" t="s">
        <v>352</v>
      </c>
      <c r="B18" s="13" t="s">
        <v>353</v>
      </c>
      <c r="C18" s="13" t="s">
        <v>354</v>
      </c>
    </row>
    <row r="19">
      <c r="A19" s="12" t="s">
        <v>355</v>
      </c>
      <c r="B19" s="13" t="s">
        <v>356</v>
      </c>
      <c r="C19" s="13" t="s">
        <v>357</v>
      </c>
    </row>
    <row r="20">
      <c r="A20" s="14"/>
    </row>
    <row r="21">
      <c r="A21" s="15" t="s">
        <v>358</v>
      </c>
    </row>
    <row r="22">
      <c r="A22" s="16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/>
    </row>
    <row r="29">
      <c r="A29" s="17"/>
    </row>
    <row r="30">
      <c r="A30" s="17"/>
    </row>
    <row r="31">
      <c r="A31" s="17"/>
    </row>
    <row r="32">
      <c r="A32" s="17"/>
    </row>
    <row r="33">
      <c r="A33" s="17"/>
    </row>
    <row r="34">
      <c r="A34" s="17"/>
    </row>
    <row r="35">
      <c r="A35" s="17"/>
    </row>
    <row r="36">
      <c r="A36" s="17"/>
    </row>
    <row r="37">
      <c r="A37" s="17"/>
    </row>
    <row r="38">
      <c r="A38" s="17"/>
    </row>
    <row r="39">
      <c r="A39" s="17"/>
    </row>
    <row r="40">
      <c r="A40" s="17"/>
    </row>
    <row r="41">
      <c r="A41" s="17"/>
    </row>
    <row r="42">
      <c r="A42" s="17"/>
    </row>
    <row r="43">
      <c r="A43" s="17"/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</sheetData>
  <drawing r:id="rId1"/>
</worksheet>
</file>